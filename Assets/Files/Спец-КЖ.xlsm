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mygdisk\Спецификация подпорная Васильково\"/>
    </mc:Choice>
  </mc:AlternateContent>
  <xr:revisionPtr revIDLastSave="0" documentId="13_ncr:1_{00628218-1EA1-4087-9022-6E81CAE34DFE}" xr6:coauthVersionLast="45" xr6:coauthVersionMax="45" xr10:uidLastSave="{00000000-0000-0000-0000-000000000000}"/>
  <bookViews>
    <workbookView xWindow="-120" yWindow="-120" windowWidth="28110" windowHeight="16440" tabRatio="850" activeTab="8" xr2:uid="{00000000-000D-0000-FFFF-FFFF00000000}"/>
  </bookViews>
  <sheets>
    <sheet name="|Содержание|" sheetId="712" r:id="rId1"/>
    <sheet name="|Лог|" sheetId="669" r:id="rId2"/>
    <sheet name="Спм1_спец" sheetId="763" r:id="rId3"/>
    <sheet name="КМ_спец" sheetId="809" r:id="rId4"/>
    <sheet name="Изделия_спец.И" sheetId="696" r:id="rId5"/>
    <sheet name="!System" sheetId="806" state="hidden" r:id="rId6"/>
    <sheet name="Спм1_об" sheetId="805" r:id="rId7"/>
    <sheet name="Спм1" sheetId="807" r:id="rId8"/>
    <sheet name="Спм1_кж" sheetId="808" r:id="rId9"/>
    <sheet name="КМ_км" sheetId="810" r:id="rId10"/>
    <sheet name="КМ" sheetId="8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9" i="763" l="1"/>
  <c r="C29" i="763"/>
  <c r="D29" i="763"/>
  <c r="B28" i="763"/>
  <c r="C28" i="763"/>
  <c r="D28" i="763"/>
  <c r="B27" i="763"/>
  <c r="C27" i="763"/>
  <c r="D27" i="763"/>
  <c r="E19" i="763" l="1"/>
  <c r="H21" i="763"/>
  <c r="E26" i="763"/>
  <c r="E25" i="763"/>
  <c r="E24" i="763"/>
  <c r="E23" i="763"/>
  <c r="H6" i="696"/>
  <c r="A6" i="696" l="1"/>
  <c r="E16" i="763"/>
  <c r="E9" i="763"/>
  <c r="E21" i="763"/>
  <c r="E5" i="763"/>
  <c r="E10" i="763"/>
  <c r="E13" i="763" s="1"/>
  <c r="E3" i="763"/>
  <c r="H14" i="763"/>
  <c r="H15" i="763"/>
  <c r="H20" i="763"/>
  <c r="H19" i="763"/>
  <c r="E22" i="763"/>
  <c r="H16" i="763"/>
  <c r="H18" i="763"/>
  <c r="H17" i="763"/>
  <c r="E20" i="763" l="1"/>
  <c r="D22" i="763" l="1"/>
  <c r="C22" i="763"/>
  <c r="B22" i="763"/>
  <c r="A19" i="696" l="1"/>
  <c r="A20" i="696" s="1"/>
  <c r="A15" i="696"/>
  <c r="A16" i="696" s="1"/>
  <c r="B18" i="696"/>
  <c r="B14" i="696"/>
  <c r="B9" i="696"/>
  <c r="E12" i="763" l="1"/>
  <c r="A11" i="763" l="1"/>
  <c r="A12" i="763" l="1"/>
  <c r="A10" i="763"/>
  <c r="A9" i="763" s="1"/>
  <c r="A8" i="763" s="1"/>
  <c r="A13" i="763" l="1"/>
  <c r="A14" i="763" s="1"/>
  <c r="A6" i="763"/>
  <c r="A5" i="763" s="1"/>
  <c r="A7" i="763"/>
  <c r="A7" i="696"/>
  <c r="B5" i="696"/>
  <c r="A4" i="763" l="1"/>
  <c r="A3" i="763" s="1"/>
  <c r="A15" i="763"/>
  <c r="A16" i="763" s="1"/>
  <c r="A17" i="763" l="1"/>
  <c r="A18" i="763" s="1"/>
  <c r="A19" i="763" s="1"/>
  <c r="A20" i="763"/>
  <c r="A22" i="763"/>
  <c r="A23" i="763" s="1"/>
  <c r="A24" i="763" s="1"/>
  <c r="A25" i="763" s="1"/>
  <c r="A26" i="763" s="1"/>
  <c r="A27" i="763" l="1"/>
  <c r="A28" i="763" s="1"/>
  <c r="A29" i="763" s="1"/>
  <c r="A21" i="76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da-rogojin</author>
  </authors>
  <commentList>
    <comment ref="E14" authorId="0" shapeId="0" xr:uid="{C3E5484C-E8EC-44A4-B7E8-78D0602A4AD2}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4" authorId="0" shapeId="0" xr:uid="{350FEC84-3C6D-4F23-AC42-A77380DD5EF9}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5" authorId="0" shapeId="0" xr:uid="{269C8A22-58A2-4F96-AA8A-6AE8ABB995EE}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5" authorId="0" shapeId="0" xr:uid="{C2367B5F-F9AB-4B27-96ED-7340E998B4EB}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7" authorId="0" shapeId="0" xr:uid="{F335D75A-5F60-4151-9B1C-FC8A48DE8F82}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7" authorId="0" shapeId="0" xr:uid="{3140F8E7-8194-4E66-A0D3-FAD0E7571E16}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8" authorId="0" shapeId="0" xr:uid="{23A41B3A-374E-44CC-A790-7B31C158DB01}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8" authorId="0" shapeId="0" xr:uid="{1A8D9A3A-FF51-466B-B6BB-4958993D9C89}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</commentList>
</comments>
</file>

<file path=xl/sharedStrings.xml><?xml version="1.0" encoding="utf-8"?>
<sst xmlns="http://schemas.openxmlformats.org/spreadsheetml/2006/main" count="3842" uniqueCount="3064">
  <si>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</si>
  <si>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</si>
  <si>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</si>
  <si>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</si>
  <si>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</si>
  <si>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</si>
  <si>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</si>
  <si>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</si>
  <si>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</si>
  <si>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</si>
  <si>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</si>
  <si>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</si>
  <si>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</si>
  <si>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</si>
  <si>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</si>
  <si>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</si>
  <si>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</si>
  <si>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</si>
  <si>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</si>
  <si>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</si>
  <si>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</si>
  <si>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</si>
  <si>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</si>
  <si>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</si>
  <si>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</si>
  <si>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</si>
  <si>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</si>
  <si>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</si>
  <si>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</si>
  <si>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</si>
  <si>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</si>
  <si>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</si>
  <si>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</si>
  <si>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</si>
  <si>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</si>
  <si>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</si>
  <si>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</si>
  <si>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</si>
  <si>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</si>
  <si>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</si>
  <si>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</si>
  <si>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</si>
  <si>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</si>
  <si>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</si>
  <si>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</si>
  <si>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</si>
  <si>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</si>
  <si>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</si>
  <si>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</si>
  <si>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</si>
  <si>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</si>
  <si>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</si>
  <si>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</si>
  <si>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</si>
  <si>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</si>
  <si>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</si>
  <si>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</si>
  <si>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</si>
  <si>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</si>
  <si>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</si>
  <si>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</si>
  <si>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</si>
  <si>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</si>
  <si>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</si>
  <si>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</si>
  <si>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</si>
  <si>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</si>
  <si>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</si>
  <si>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</si>
  <si>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</si>
  <si>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</si>
  <si>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</si>
  <si>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</si>
  <si>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</si>
  <si>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</si>
  <si>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</si>
  <si>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</si>
  <si>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</si>
  <si>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</si>
  <si>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</si>
  <si>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</si>
  <si>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</si>
  <si>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</si>
  <si>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</si>
  <si>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</si>
  <si>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</si>
  <si>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</si>
  <si>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</si>
  <si>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</si>
  <si>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</si>
  <si>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</si>
  <si>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</si>
  <si>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</si>
  <si>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</si>
  <si>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</si>
  <si>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</si>
  <si>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</si>
  <si>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</si>
  <si>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</si>
  <si>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</si>
  <si>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</si>
  <si>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</si>
  <si>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</si>
  <si>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</si>
  <si>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</si>
  <si>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</si>
  <si>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</si>
  <si>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</si>
  <si>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</si>
  <si>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</si>
  <si>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</si>
  <si>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</si>
  <si>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</si>
  <si>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</si>
  <si>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</si>
  <si>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</si>
  <si>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</si>
  <si>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</si>
  <si>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</si>
  <si>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</si>
  <si>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</si>
  <si>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</si>
  <si>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</si>
  <si>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</si>
  <si>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</si>
  <si>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</si>
  <si>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</si>
  <si>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</si>
  <si>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</si>
  <si>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</si>
  <si>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</si>
  <si>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</si>
  <si>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</si>
  <si>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</si>
  <si>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</si>
  <si>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</si>
  <si>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</si>
  <si>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</si>
  <si>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</si>
  <si>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</si>
  <si>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</si>
  <si>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</si>
  <si>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</si>
  <si>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</si>
  <si>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</si>
  <si>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</si>
  <si>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</si>
  <si>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</si>
  <si>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</si>
  <si>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</si>
  <si>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</si>
  <si>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</si>
  <si>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</si>
  <si>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</si>
  <si>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</si>
  <si>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</si>
  <si>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</si>
  <si>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</si>
  <si>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</si>
  <si>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</si>
  <si>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</si>
  <si>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</si>
  <si>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</si>
  <si>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</si>
  <si>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</si>
  <si>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</si>
  <si>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</si>
  <si>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</si>
  <si>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</si>
  <si>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</si>
  <si>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</si>
  <si>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</si>
  <si>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</si>
  <si>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</si>
  <si>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</si>
  <si>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</si>
  <si>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</si>
  <si>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</si>
  <si>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</si>
  <si>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</si>
  <si>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</si>
  <si>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</si>
  <si>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</si>
  <si>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</si>
  <si>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</si>
  <si>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</si>
  <si>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</si>
  <si>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</si>
  <si>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</si>
  <si>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</si>
  <si>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</si>
  <si>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</si>
  <si>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</si>
  <si>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</si>
  <si>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</si>
  <si>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</si>
  <si>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</si>
  <si>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</si>
  <si>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</si>
  <si>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</si>
  <si>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</si>
  <si>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</si>
  <si>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</si>
  <si>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</si>
  <si>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</si>
  <si>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</si>
  <si>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</si>
  <si>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</si>
  <si>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</si>
  <si>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</si>
  <si>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</si>
  <si>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</si>
  <si>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</si>
  <si>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</si>
  <si>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</si>
  <si>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</si>
  <si>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</si>
  <si>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</si>
  <si>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</si>
  <si>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</si>
  <si>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</si>
  <si>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</si>
  <si>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</si>
  <si>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</si>
  <si>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</si>
  <si>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</si>
  <si>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</si>
  <si>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</si>
  <si>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</si>
  <si>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</si>
  <si>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</si>
  <si>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</si>
  <si>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</si>
  <si>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</si>
  <si>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</si>
  <si>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</si>
  <si>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</si>
  <si>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</si>
  <si>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</si>
  <si>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</si>
  <si>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</si>
  <si>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</si>
  <si>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</si>
  <si>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</si>
  <si>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</si>
  <si>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</si>
  <si>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</si>
  <si>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</si>
  <si>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</si>
  <si>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</si>
  <si>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</si>
  <si>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</si>
  <si>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</si>
  <si>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</si>
  <si>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</si>
  <si>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</si>
  <si>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</si>
  <si>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</si>
  <si>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</si>
  <si>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</si>
  <si>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</si>
  <si>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</si>
  <si>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</si>
  <si>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</si>
  <si>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</si>
  <si>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</si>
  <si>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</si>
  <si>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</si>
  <si>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</si>
  <si>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</si>
  <si>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</si>
  <si>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</si>
  <si>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</si>
  <si>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</si>
  <si>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</si>
  <si>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</si>
  <si>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</si>
  <si>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</si>
  <si>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</si>
  <si>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</si>
  <si>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</si>
  <si>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</si>
  <si>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</si>
  <si>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</si>
  <si>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</si>
  <si>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</si>
  <si>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</si>
  <si>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</si>
  <si>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</si>
  <si>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</si>
  <si>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</si>
  <si>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</si>
  <si>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</si>
  <si>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</si>
  <si>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</si>
  <si>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</si>
  <si>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</si>
  <si>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</si>
  <si>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</si>
  <si>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</si>
  <si>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</si>
  <si>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</si>
  <si>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</si>
  <si>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</si>
  <si>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</si>
  <si>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</si>
  <si>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</si>
  <si>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</si>
  <si>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</si>
  <si>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</si>
  <si>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</si>
  <si>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</si>
  <si>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</si>
  <si>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</si>
  <si>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</si>
  <si>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</si>
  <si>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</si>
  <si>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</si>
  <si>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</si>
  <si>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</si>
  <si>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</si>
  <si>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</si>
  <si>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</si>
  <si>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</si>
  <si>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</si>
  <si>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</si>
  <si>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</si>
  <si>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</si>
  <si>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</si>
  <si>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</si>
  <si>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</si>
  <si>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</si>
  <si>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</si>
  <si>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</si>
  <si>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</si>
  <si>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</si>
  <si>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</si>
  <si>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</si>
  <si>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</si>
  <si>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</si>
  <si>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</si>
  <si>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</si>
  <si>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</si>
  <si>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</si>
  <si>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</si>
  <si>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</si>
  <si>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</si>
  <si>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</si>
  <si>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</si>
  <si>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</si>
  <si>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</si>
  <si>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</si>
  <si>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</si>
  <si>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</si>
  <si>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</si>
  <si>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</si>
  <si>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</si>
  <si>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</si>
  <si>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</si>
  <si>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</si>
  <si>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</si>
  <si>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</si>
  <si>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</si>
  <si>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</si>
  <si>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</si>
  <si>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</si>
  <si>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</si>
  <si>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</si>
  <si>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</si>
  <si>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</si>
  <si>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</si>
  <si>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</si>
  <si>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</si>
  <si>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</si>
  <si>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</si>
  <si>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</si>
  <si>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</si>
  <si>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</si>
  <si>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</si>
  <si>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</si>
  <si>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</si>
  <si>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</si>
  <si>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</si>
  <si>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</si>
  <si>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</si>
  <si>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</si>
  <si>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</si>
  <si>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</si>
  <si>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</si>
  <si>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</si>
  <si>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</si>
  <si>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</si>
  <si>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</si>
  <si>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</si>
  <si>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</si>
  <si>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</si>
  <si>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</si>
  <si>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</si>
  <si>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</si>
  <si>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</si>
  <si>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</si>
  <si>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</si>
  <si>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</si>
  <si>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</si>
  <si>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</si>
  <si>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</si>
  <si>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</si>
  <si>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</si>
  <si>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</si>
  <si>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</si>
  <si>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</si>
  <si>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</si>
  <si>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</si>
  <si>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</si>
  <si>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</si>
  <si>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</si>
  <si>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</si>
  <si>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</si>
  <si>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</si>
  <si>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</si>
  <si>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</si>
  <si>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</si>
  <si>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</si>
  <si>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</si>
  <si>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</si>
  <si>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</si>
  <si>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</si>
  <si>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</si>
  <si>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</si>
  <si>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</si>
  <si>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</si>
  <si>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</si>
  <si>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</si>
  <si>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</si>
  <si>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</si>
  <si>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</si>
  <si>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</si>
  <si>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</si>
  <si>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</si>
  <si>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</si>
  <si>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</si>
  <si>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</si>
  <si>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</si>
  <si>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</si>
  <si>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</si>
  <si>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</si>
  <si>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</si>
  <si>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</si>
  <si>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</si>
  <si>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</si>
  <si>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</si>
  <si>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</si>
  <si>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</si>
  <si>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</si>
  <si>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</si>
  <si>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</si>
  <si>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</si>
  <si>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</si>
  <si>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</si>
  <si>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</si>
  <si>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</si>
  <si>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</si>
  <si>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</si>
  <si>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</si>
  <si>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</si>
  <si>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</si>
  <si>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</si>
  <si>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</si>
  <si>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</si>
  <si>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</si>
  <si>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</si>
  <si>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</si>
  <si>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</si>
  <si>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</si>
  <si>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</si>
  <si>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</si>
  <si>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</si>
  <si>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</si>
  <si>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</si>
  <si>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</si>
  <si>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</si>
  <si>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</si>
  <si>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</si>
  <si>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</si>
  <si>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</si>
  <si>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</si>
  <si>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</si>
  <si>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</si>
  <si>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</si>
  <si>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</si>
  <si>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</si>
  <si>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</si>
  <si>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</si>
  <si>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</si>
  <si>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</si>
  <si>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</si>
  <si>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</si>
  <si>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</si>
  <si>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</si>
  <si>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</si>
  <si>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</si>
  <si>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</si>
  <si>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</si>
  <si>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</si>
  <si>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</si>
  <si>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</si>
  <si>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</si>
  <si>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</si>
  <si>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</si>
  <si>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</si>
  <si>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</si>
  <si>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</si>
  <si>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</si>
  <si>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</si>
  <si>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</si>
  <si>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</si>
  <si>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</si>
  <si>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</si>
  <si>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</si>
  <si>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</si>
  <si>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</si>
  <si>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</si>
  <si>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</si>
  <si>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</si>
  <si>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</si>
  <si>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</si>
  <si>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</si>
  <si>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</si>
  <si>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</si>
  <si>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</si>
  <si>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</si>
  <si>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</si>
  <si>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</si>
  <si>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</si>
  <si>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</si>
  <si>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</si>
  <si>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</si>
  <si>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</si>
  <si>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</si>
  <si>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</si>
  <si>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</si>
  <si>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</si>
  <si>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</si>
  <si>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</si>
  <si>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</si>
  <si>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</si>
  <si>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</si>
  <si>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</si>
  <si>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</si>
  <si>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</si>
  <si>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</si>
  <si>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</si>
  <si>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</si>
  <si>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</si>
  <si>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</si>
  <si>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</si>
  <si>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</si>
  <si>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</si>
  <si>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</si>
  <si>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</si>
  <si>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</si>
  <si>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</si>
  <si>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</si>
  <si>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</si>
  <si>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</si>
  <si>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</si>
  <si>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</si>
  <si>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</si>
  <si>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</si>
  <si>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</si>
  <si>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</si>
  <si>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</si>
  <si>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</si>
  <si>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</si>
  <si>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</si>
  <si>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</si>
  <si>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</si>
  <si>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</si>
  <si>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</si>
  <si>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</si>
  <si>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</si>
  <si>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</si>
  <si>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</si>
  <si>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</si>
  <si>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</si>
  <si>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</si>
  <si>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</si>
  <si>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</si>
  <si>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</si>
  <si>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</si>
  <si>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</si>
  <si>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</si>
  <si>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</si>
  <si>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</si>
  <si>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</si>
  <si>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</si>
  <si>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</si>
  <si>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</si>
  <si>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</si>
  <si>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</si>
  <si>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</si>
  <si>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</si>
  <si>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</si>
  <si>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</si>
  <si>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</si>
  <si>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</si>
  <si>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</si>
  <si>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</si>
  <si>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</si>
  <si>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</si>
  <si>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</si>
  <si>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</si>
  <si>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</si>
  <si>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</si>
  <si>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</si>
  <si>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</si>
  <si>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</si>
  <si>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</si>
  <si>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</si>
  <si>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</si>
  <si>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</si>
  <si>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</si>
  <si>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</si>
  <si>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</si>
  <si>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</si>
  <si>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</si>
  <si>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</si>
  <si>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</si>
  <si>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</si>
  <si>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</si>
  <si>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</si>
  <si>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</si>
  <si>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</si>
  <si>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</si>
  <si>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</si>
  <si>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</si>
  <si>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</si>
  <si>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</si>
  <si>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</si>
  <si>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</si>
  <si>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</si>
  <si>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</si>
  <si>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</si>
  <si>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</si>
  <si>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</si>
  <si>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</si>
  <si>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</si>
  <si>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</si>
  <si>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</si>
  <si>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</si>
  <si>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</si>
  <si>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</si>
  <si>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</si>
  <si>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</si>
  <si>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</si>
  <si>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</si>
  <si>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</si>
  <si>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</si>
  <si>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</si>
  <si>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</si>
  <si>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</si>
  <si>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</si>
  <si>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</si>
  <si>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</si>
  <si>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</si>
  <si>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</si>
  <si>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</si>
  <si>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</si>
  <si>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</si>
  <si>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</si>
  <si>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</si>
  <si>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</si>
  <si>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</si>
  <si>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</si>
  <si>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</si>
  <si>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</si>
  <si>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</si>
  <si>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</si>
  <si>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</si>
  <si>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</si>
  <si>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</si>
  <si>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</si>
  <si>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</si>
  <si>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</si>
  <si>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</si>
  <si>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</si>
  <si>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</si>
  <si>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</si>
  <si>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</si>
  <si>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</si>
  <si>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</si>
  <si>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</si>
  <si>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</si>
  <si>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</si>
  <si>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</si>
  <si>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</si>
  <si>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</si>
  <si>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</si>
  <si>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</si>
  <si>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</si>
  <si>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</si>
  <si>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</si>
  <si>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</si>
  <si>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</si>
  <si>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</si>
  <si>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</si>
  <si>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</si>
  <si>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</si>
  <si>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</si>
  <si>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</si>
  <si>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</si>
  <si>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</si>
  <si>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</si>
  <si>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</si>
  <si>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</si>
  <si>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</si>
  <si>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</si>
  <si>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</si>
  <si>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</si>
  <si>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</si>
  <si>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</si>
  <si>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</si>
  <si>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</si>
  <si>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</si>
  <si>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</si>
  <si>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</si>
  <si>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</si>
  <si>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</si>
  <si>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</si>
  <si>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</si>
  <si>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</si>
  <si>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</si>
  <si>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</si>
  <si>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</si>
  <si>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</si>
  <si>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</si>
  <si>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</si>
  <si>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</si>
  <si>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</si>
  <si>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</si>
  <si>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</si>
  <si>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</si>
  <si>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</si>
  <si>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</si>
  <si>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</si>
  <si>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</si>
  <si>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</si>
  <si>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</si>
  <si>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</si>
  <si>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</si>
  <si>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</si>
  <si>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</si>
  <si>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</si>
  <si>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</si>
  <si>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</si>
  <si>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</si>
  <si>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</si>
  <si>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</si>
  <si>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</si>
  <si>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</si>
  <si>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</si>
  <si>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</si>
  <si>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</si>
  <si>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</si>
  <si>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</si>
  <si>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</si>
  <si>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</si>
  <si>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</si>
  <si>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</si>
  <si>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</si>
  <si>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</si>
  <si>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</si>
  <si>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</si>
  <si>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</si>
  <si>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</si>
  <si>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</si>
  <si>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</si>
  <si>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</si>
  <si>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</si>
  <si>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</si>
  <si>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</si>
  <si>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</si>
  <si>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</si>
  <si>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</si>
  <si>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</si>
  <si>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</si>
  <si>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</si>
  <si>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</si>
  <si>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</si>
  <si>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</si>
  <si>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</si>
  <si>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</si>
  <si>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</si>
  <si>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</si>
  <si>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</si>
  <si>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</si>
  <si>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</si>
  <si>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</si>
  <si>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</si>
  <si>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</si>
  <si>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</si>
  <si>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</si>
  <si>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</si>
  <si>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</si>
  <si>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</si>
  <si>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</si>
  <si>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</si>
  <si>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</si>
  <si>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</si>
  <si>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</si>
  <si>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</si>
  <si>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</si>
  <si>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</si>
  <si>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</si>
  <si>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</si>
  <si>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</si>
  <si>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</si>
  <si>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</si>
  <si>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</si>
  <si>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</si>
  <si>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</si>
  <si>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</si>
  <si>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</si>
  <si>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</si>
  <si>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</si>
  <si>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</si>
  <si>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</si>
  <si>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</si>
  <si>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</si>
  <si>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</si>
  <si>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</si>
  <si>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</si>
  <si>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</si>
  <si>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</si>
  <si>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</si>
  <si>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</si>
  <si>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</si>
  <si>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</si>
  <si>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</si>
  <si>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</si>
  <si>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</si>
  <si>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</si>
  <si>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</si>
  <si>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</si>
  <si>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</si>
  <si>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</si>
  <si>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</si>
  <si>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</si>
  <si>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</si>
  <si>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</si>
  <si>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</si>
  <si>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</si>
  <si>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</si>
  <si>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</si>
  <si>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</si>
  <si>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</si>
  <si>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</si>
  <si>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</si>
  <si>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</si>
  <si>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</si>
  <si>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</si>
  <si>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</si>
  <si>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</si>
  <si>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</si>
  <si>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</si>
  <si>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</si>
  <si>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</si>
  <si>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</si>
  <si>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</si>
  <si>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</si>
  <si>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</si>
  <si>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</si>
  <si>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</si>
  <si>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</si>
  <si>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</si>
  <si>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</si>
  <si>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</si>
  <si>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</si>
  <si>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</si>
  <si>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</si>
  <si>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</si>
  <si>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</si>
  <si>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</si>
  <si>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</si>
  <si>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</si>
  <si>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</si>
  <si>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</si>
  <si>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</si>
  <si>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</si>
  <si>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</si>
  <si>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</si>
  <si>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</si>
  <si>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</si>
  <si>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</si>
  <si>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</si>
  <si>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</si>
  <si>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</si>
  <si>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</si>
  <si>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</si>
  <si>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</si>
  <si>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</si>
  <si>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</si>
  <si>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</si>
  <si>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</si>
  <si>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</si>
  <si>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</si>
  <si>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</si>
  <si>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</si>
  <si>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</si>
  <si>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</si>
  <si>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</si>
  <si>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</si>
  <si>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</si>
  <si>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</si>
  <si>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</si>
  <si>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</si>
  <si>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</si>
  <si>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</si>
  <si>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</si>
  <si>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</si>
  <si>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</si>
  <si>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</si>
  <si>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</si>
  <si>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</si>
  <si>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</si>
  <si>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</si>
  <si>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</si>
  <si>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</si>
  <si>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</si>
  <si>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</si>
  <si>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</si>
  <si>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</si>
  <si>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</si>
  <si>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</si>
  <si>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</si>
  <si>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</si>
  <si>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</si>
  <si>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</si>
  <si>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</si>
  <si>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</si>
  <si>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</si>
  <si>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</si>
  <si>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</si>
  <si>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</si>
  <si>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</si>
  <si>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</si>
  <si>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</si>
  <si>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</si>
  <si>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</si>
  <si>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</si>
  <si>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</si>
  <si>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</si>
  <si>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</si>
  <si>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</si>
  <si>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</si>
  <si>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</si>
  <si>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</si>
  <si>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</si>
  <si>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</si>
  <si>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</si>
  <si>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</si>
  <si>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</si>
  <si>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</si>
  <si>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</si>
  <si>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</si>
  <si>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</si>
  <si>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</si>
  <si>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</si>
  <si>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</si>
  <si>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</si>
  <si>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</si>
  <si>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</si>
  <si>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</si>
  <si>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</si>
  <si>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</si>
  <si>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</si>
  <si>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</si>
  <si>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</si>
  <si>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</si>
  <si>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</si>
  <si>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</si>
  <si>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</si>
  <si>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</si>
  <si>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</si>
  <si>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</si>
  <si>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</si>
  <si>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</si>
  <si>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</si>
  <si>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</si>
  <si>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</si>
  <si>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</si>
  <si>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</si>
  <si>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</si>
  <si>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</si>
  <si>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</si>
  <si>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</si>
  <si>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</si>
  <si>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</si>
  <si>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</si>
  <si>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</si>
  <si>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</si>
  <si>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</si>
  <si>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</si>
  <si>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</si>
  <si>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</si>
  <si>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</si>
  <si>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</si>
  <si>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</si>
  <si>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</si>
  <si>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</si>
  <si>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</si>
  <si>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</si>
  <si>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</si>
  <si>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</si>
  <si>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</si>
  <si>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</si>
  <si>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</si>
  <si>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</si>
  <si>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</si>
  <si>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</si>
  <si>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</si>
  <si>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</si>
  <si>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</si>
  <si>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</si>
  <si>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</si>
  <si>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</si>
  <si>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</si>
  <si>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</si>
  <si>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</si>
  <si>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</si>
  <si>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</si>
  <si>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</si>
  <si>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</si>
  <si>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</si>
  <si>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</si>
  <si>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</si>
  <si>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</si>
  <si>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</si>
  <si>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</si>
  <si>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</si>
  <si>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</si>
  <si>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</si>
  <si>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</si>
  <si>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</si>
  <si>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</si>
  <si>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</si>
  <si>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</si>
  <si>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</si>
  <si>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</si>
  <si>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</si>
  <si>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</si>
  <si>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</si>
  <si>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</si>
  <si>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</si>
  <si>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</si>
  <si>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</si>
  <si>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</si>
  <si>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</si>
  <si>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</si>
  <si>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</si>
  <si>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</si>
  <si>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</si>
  <si>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</si>
  <si>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</si>
  <si>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</si>
  <si>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</si>
  <si>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</si>
  <si>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</si>
  <si>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</si>
  <si>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</si>
  <si>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</si>
  <si>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</si>
  <si>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</si>
  <si>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</si>
  <si>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</si>
  <si>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</si>
  <si>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</si>
  <si>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</si>
  <si>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</si>
  <si>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</si>
  <si>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</si>
  <si>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</si>
  <si>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</si>
  <si>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</si>
  <si>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</si>
  <si>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</si>
  <si>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</si>
  <si>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</si>
  <si>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</si>
  <si>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</si>
  <si>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</si>
  <si>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</si>
  <si>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</si>
  <si>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</si>
  <si>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</si>
  <si>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</si>
  <si>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</si>
  <si>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</si>
  <si>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</si>
  <si>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</si>
  <si>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</si>
  <si>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</si>
  <si>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</si>
  <si>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</si>
  <si>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</si>
  <si>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</si>
  <si>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</si>
  <si>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</si>
  <si>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</si>
  <si>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</si>
  <si>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</si>
  <si>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</si>
  <si>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</si>
  <si>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</si>
  <si>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</si>
  <si>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</si>
  <si>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</si>
  <si>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</si>
  <si>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</si>
  <si>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</si>
  <si>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</si>
  <si>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</si>
  <si>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</si>
  <si>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</si>
  <si>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</si>
  <si>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</si>
  <si>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</si>
  <si>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</si>
  <si>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</si>
  <si>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</si>
  <si>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</si>
  <si>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</si>
  <si>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</si>
  <si>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</si>
  <si>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</si>
  <si>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</si>
  <si>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</si>
  <si>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</si>
  <si>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</si>
  <si>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</si>
  <si>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</si>
  <si>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</si>
  <si>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</si>
  <si>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</si>
  <si>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</si>
  <si>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</si>
  <si>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</si>
  <si>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</si>
  <si>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</si>
  <si>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</si>
  <si>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</si>
  <si>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</si>
  <si>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</si>
  <si>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</si>
  <si>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</si>
  <si>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</si>
  <si>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</si>
  <si>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</si>
  <si>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</si>
  <si>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</si>
  <si>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</si>
  <si>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</si>
  <si>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</si>
  <si>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</si>
  <si>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</si>
  <si>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</si>
  <si>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</si>
  <si>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</si>
  <si>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</si>
  <si>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</si>
  <si>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</si>
  <si>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</si>
  <si>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</si>
  <si>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</si>
  <si>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</si>
  <si>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</si>
  <si>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</si>
  <si>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</si>
  <si>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</si>
  <si>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</si>
  <si>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</si>
  <si>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</si>
  <si>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</si>
  <si>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</si>
  <si>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</si>
  <si>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</si>
  <si>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</si>
  <si>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</si>
  <si>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</si>
  <si>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</si>
  <si>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</si>
  <si>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</si>
  <si>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</si>
  <si>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</si>
  <si>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</si>
  <si>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</si>
  <si>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</si>
  <si>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</si>
  <si>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</si>
  <si>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</si>
  <si>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</si>
  <si>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</si>
  <si>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</si>
  <si>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</si>
  <si>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</si>
  <si>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</si>
  <si>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</si>
  <si>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</si>
  <si>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</si>
  <si>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</si>
  <si>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</si>
  <si>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</si>
  <si>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</si>
  <si>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</si>
  <si>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</si>
  <si>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</si>
  <si>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</si>
  <si>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</si>
  <si>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</si>
  <si>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</si>
  <si>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</si>
  <si>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</si>
  <si>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</si>
  <si>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</si>
  <si>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</si>
  <si>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</si>
  <si>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</si>
  <si>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</si>
  <si>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</si>
  <si>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</si>
  <si>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</si>
  <si>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</si>
  <si>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</si>
  <si>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</si>
  <si>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</si>
  <si>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</si>
  <si>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</si>
  <si>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</si>
  <si>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</si>
  <si>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</si>
  <si>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</si>
  <si>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</si>
  <si>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</si>
  <si>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</si>
  <si>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</si>
  <si>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</si>
  <si>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</si>
  <si>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</si>
  <si>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</si>
  <si>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</si>
  <si>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</si>
  <si>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</si>
  <si>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</si>
  <si>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</si>
  <si>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</si>
  <si>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</si>
  <si>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</si>
  <si>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</si>
  <si>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</si>
  <si>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</si>
  <si>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</si>
  <si>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</si>
  <si>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</si>
  <si>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</si>
  <si>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</si>
  <si>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</si>
  <si>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</si>
  <si>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</si>
  <si>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</si>
  <si>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</si>
  <si>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</si>
  <si>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</si>
  <si>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</si>
  <si>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</si>
  <si>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</si>
  <si>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</si>
  <si>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</si>
  <si>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</si>
  <si>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</si>
  <si>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</si>
  <si>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</si>
  <si>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</si>
  <si>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</si>
  <si>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</si>
  <si>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</si>
  <si>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</si>
  <si>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</si>
  <si>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</si>
  <si>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</si>
  <si>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</si>
  <si>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</si>
  <si>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</si>
  <si>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</si>
  <si>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</si>
  <si>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</si>
  <si>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</si>
  <si>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</si>
  <si>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</si>
  <si>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</si>
  <si>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</si>
  <si>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</si>
  <si>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</si>
  <si>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</si>
  <si>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</si>
  <si>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</si>
  <si>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</si>
  <si>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</si>
  <si>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</si>
  <si>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</si>
  <si>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</si>
  <si>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</si>
  <si>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</si>
  <si>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</si>
  <si>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</si>
  <si>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</si>
  <si>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</si>
  <si>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</si>
  <si>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</si>
  <si>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</si>
  <si>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</si>
  <si>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</si>
  <si>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</si>
  <si>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</si>
  <si>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</si>
  <si>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</si>
  <si>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</si>
  <si>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</si>
  <si>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</si>
  <si>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</si>
  <si>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</si>
  <si>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</si>
  <si>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</si>
  <si>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</si>
  <si>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</si>
  <si>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</si>
  <si>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</si>
  <si>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</si>
  <si>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</si>
  <si>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</si>
  <si>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</si>
  <si>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</si>
  <si>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</si>
  <si>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</si>
  <si>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</si>
  <si>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</si>
  <si>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</si>
  <si>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</si>
  <si>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</si>
  <si>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</si>
  <si>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</si>
  <si>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</si>
  <si>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</si>
  <si>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</si>
  <si>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</si>
  <si>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</si>
  <si>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</si>
  <si>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</si>
  <si>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</si>
  <si>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</si>
  <si>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</si>
  <si>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</si>
  <si>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</si>
  <si>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</si>
  <si>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</si>
  <si>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</si>
  <si>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</si>
  <si>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</si>
  <si>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</si>
  <si>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</si>
  <si>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</si>
  <si>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</si>
  <si>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</si>
  <si>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</si>
  <si>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</si>
  <si>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</si>
  <si>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</si>
  <si>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</si>
  <si>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</si>
  <si>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</si>
  <si>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</si>
  <si>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</si>
  <si>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</si>
  <si>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</si>
  <si>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</si>
  <si>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</si>
  <si>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</si>
  <si>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</si>
  <si>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</si>
  <si>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</si>
  <si>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</si>
  <si>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</si>
  <si>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</si>
  <si>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</si>
  <si>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</si>
  <si>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</si>
  <si>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</si>
  <si>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</si>
  <si>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</si>
  <si>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</si>
  <si>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</si>
  <si>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</si>
  <si>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</si>
  <si>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</si>
  <si>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</si>
  <si>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</si>
  <si>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</si>
  <si>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</si>
  <si>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</si>
  <si>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</si>
  <si>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</si>
  <si>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</si>
  <si>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</si>
  <si>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</si>
  <si>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</si>
  <si>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</si>
  <si>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</si>
  <si>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</si>
  <si>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</si>
  <si>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</si>
  <si>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</si>
  <si>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</si>
  <si>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</si>
  <si>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</si>
  <si>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</si>
  <si>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</si>
  <si>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</si>
  <si>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</si>
  <si>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</si>
  <si>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</si>
  <si>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</si>
  <si>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</si>
  <si>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</si>
  <si>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</si>
  <si>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</si>
  <si>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</si>
  <si>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</si>
  <si>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</si>
  <si>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</si>
  <si>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</si>
  <si>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</si>
  <si>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</si>
  <si>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</si>
  <si>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</si>
  <si>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</si>
  <si>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</si>
  <si>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</si>
  <si>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</si>
  <si>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</si>
  <si>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</si>
  <si>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</si>
  <si>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</si>
  <si>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</si>
  <si>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</si>
  <si>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</si>
  <si>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</si>
  <si>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</si>
  <si>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</si>
  <si>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</si>
  <si>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</si>
  <si>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</si>
  <si>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</si>
  <si>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</si>
  <si>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</si>
  <si>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</si>
  <si>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</si>
  <si>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</si>
  <si>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</si>
  <si>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</si>
  <si>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</si>
  <si>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</si>
  <si>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</si>
  <si>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</si>
  <si>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</si>
  <si>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</si>
  <si>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</si>
  <si>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</si>
  <si>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</si>
  <si>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</si>
  <si>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</si>
  <si>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</si>
  <si>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</si>
  <si>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</si>
  <si>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</si>
  <si>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</si>
  <si>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</si>
  <si>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</si>
  <si>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</si>
  <si>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</si>
  <si>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</si>
  <si>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</si>
  <si>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</si>
  <si>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</si>
  <si>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</si>
  <si>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</si>
  <si>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</si>
  <si>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</si>
  <si>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</si>
  <si>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</si>
  <si>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</si>
  <si>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</si>
  <si>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</si>
  <si>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</si>
  <si>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</si>
  <si>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</si>
  <si>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</si>
  <si>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</si>
  <si>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</si>
  <si>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</si>
  <si>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</si>
  <si>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</si>
  <si>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</si>
  <si>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</si>
  <si>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</si>
  <si>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</si>
  <si>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</si>
  <si>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</si>
  <si>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</si>
  <si>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</si>
  <si>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</si>
  <si>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</si>
  <si>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</si>
  <si>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</si>
  <si>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</si>
  <si>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</si>
  <si>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</si>
  <si>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</si>
  <si>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</si>
  <si>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</si>
  <si>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</si>
  <si>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</si>
  <si>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</si>
  <si>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</si>
  <si>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</si>
  <si>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</si>
  <si>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</si>
  <si>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</si>
  <si>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</si>
  <si>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</si>
  <si>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</si>
  <si>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</si>
  <si>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</si>
  <si>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</si>
  <si>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</si>
  <si>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</si>
  <si>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</si>
  <si>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</si>
  <si>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</si>
  <si>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</si>
  <si>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</si>
  <si>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</si>
  <si>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</si>
  <si>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</si>
  <si>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</si>
  <si>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</si>
  <si>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</si>
  <si>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</si>
  <si>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</si>
  <si>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</si>
  <si>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</si>
  <si>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</si>
  <si>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</si>
  <si>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</si>
  <si>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</si>
  <si>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</si>
  <si>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</si>
  <si>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</si>
  <si>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</si>
  <si>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</si>
  <si>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</si>
  <si>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</si>
  <si>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</si>
  <si>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</si>
  <si>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</si>
  <si>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</si>
  <si>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</si>
  <si>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</si>
  <si>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</si>
  <si>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</si>
  <si>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</si>
  <si>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</si>
  <si>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</si>
  <si>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</si>
  <si>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</si>
  <si>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</si>
  <si>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</si>
  <si>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</si>
  <si>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</si>
  <si>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</si>
  <si>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</si>
  <si>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</si>
  <si>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</si>
  <si>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</si>
  <si>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</si>
  <si>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</si>
  <si>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</si>
  <si>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</si>
  <si>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</si>
  <si>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</si>
  <si>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</si>
  <si>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</si>
  <si>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</si>
  <si>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</si>
  <si>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</si>
  <si>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</si>
  <si>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</si>
  <si>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</si>
  <si>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</si>
  <si>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</si>
  <si>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</si>
  <si>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</si>
  <si>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</si>
  <si>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</si>
  <si>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</si>
  <si>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</si>
  <si>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</si>
  <si>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</si>
  <si>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</si>
  <si>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</si>
  <si>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</si>
  <si>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</si>
  <si>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</si>
  <si>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</si>
  <si>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</si>
  <si>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</si>
  <si>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</si>
  <si>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</si>
  <si>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</si>
  <si>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</si>
  <si>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</si>
  <si>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</si>
  <si>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</si>
  <si>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</si>
  <si>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</si>
  <si>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</si>
  <si>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</si>
  <si>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</si>
  <si>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</si>
  <si>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</si>
  <si>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</si>
  <si>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</si>
  <si>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</si>
  <si>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</si>
  <si>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</si>
  <si>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</si>
  <si>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</si>
  <si>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</si>
  <si>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</si>
  <si>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</si>
  <si>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</si>
  <si>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</si>
  <si>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</si>
  <si>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</si>
  <si>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</si>
  <si>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</si>
  <si>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</si>
  <si>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</si>
  <si>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</si>
  <si>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</si>
  <si>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</si>
  <si>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</si>
  <si>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</si>
  <si>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</si>
  <si>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</si>
  <si>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</si>
  <si>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</si>
  <si>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</si>
  <si>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</si>
  <si>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</si>
  <si>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</si>
  <si>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</si>
  <si>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</si>
  <si>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</si>
  <si>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</si>
  <si>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</si>
  <si>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</si>
  <si>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</si>
  <si>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</si>
  <si>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</si>
  <si>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</si>
  <si>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</si>
  <si>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</si>
  <si>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</si>
  <si>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</si>
  <si>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</si>
  <si>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</si>
  <si>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</si>
  <si>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</si>
  <si>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</si>
  <si>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</si>
  <si>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</si>
  <si>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</si>
  <si>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</si>
  <si>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</si>
  <si>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</si>
  <si>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</si>
  <si>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</si>
  <si>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</si>
  <si>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</si>
  <si>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</si>
  <si>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</si>
  <si>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</si>
  <si>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</si>
  <si>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</si>
  <si>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</si>
  <si>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</si>
  <si>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</si>
  <si>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</si>
  <si>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</si>
  <si>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</si>
  <si>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</si>
  <si>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</si>
  <si>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</si>
  <si>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</si>
  <si>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</si>
  <si>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</si>
  <si>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</si>
  <si>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</si>
  <si>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</si>
  <si>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</si>
  <si>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</si>
  <si>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</si>
  <si>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</si>
  <si>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</si>
  <si>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</si>
  <si>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</si>
  <si>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</si>
  <si>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</si>
  <si>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</si>
  <si>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</si>
  <si>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</si>
  <si>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</si>
  <si>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</si>
  <si>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</si>
  <si>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</si>
  <si>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</si>
  <si>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</si>
  <si>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</si>
  <si>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</si>
  <si>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</si>
  <si>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</si>
  <si>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</si>
  <si>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</si>
  <si>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</si>
  <si>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</si>
  <si>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</si>
  <si>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</si>
  <si>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</si>
  <si>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</si>
  <si>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</si>
  <si>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</si>
  <si>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</si>
  <si>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</si>
  <si>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</si>
  <si>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</si>
  <si>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</si>
  <si>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</si>
  <si>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</si>
  <si>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</si>
  <si>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</si>
  <si>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</si>
  <si>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</si>
  <si>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</si>
  <si>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</si>
  <si>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</si>
  <si>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</si>
  <si>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</si>
  <si>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</si>
  <si>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</si>
  <si>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</si>
  <si>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</si>
  <si>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</si>
  <si>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</si>
  <si>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</si>
  <si>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</si>
  <si>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</si>
  <si>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</si>
  <si>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</si>
  <si>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</si>
  <si>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</si>
  <si>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</si>
  <si>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</si>
  <si>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</si>
  <si>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</si>
  <si>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</si>
  <si>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</si>
  <si>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</si>
  <si>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</si>
  <si>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</si>
  <si>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</si>
  <si>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</si>
  <si>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</si>
  <si>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</si>
  <si>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</si>
  <si>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</si>
  <si>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</si>
  <si>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</si>
  <si>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</si>
  <si>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</si>
  <si>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</si>
  <si>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</si>
  <si>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</si>
  <si>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</si>
  <si>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</si>
  <si>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</si>
  <si>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</si>
  <si>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</si>
  <si>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</si>
  <si>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</si>
  <si>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</si>
  <si>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</si>
  <si>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</si>
  <si>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</si>
  <si>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</si>
  <si>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</si>
  <si>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</si>
  <si>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</si>
  <si>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</si>
  <si>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</si>
  <si>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</si>
  <si>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</si>
  <si>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</si>
  <si>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</si>
  <si>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</si>
  <si>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</si>
  <si>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</si>
  <si>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</si>
  <si>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</si>
  <si>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</si>
  <si>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</si>
  <si>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</si>
  <si>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</si>
  <si>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</si>
  <si>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</si>
  <si>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</si>
  <si>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</si>
  <si>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</si>
  <si>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</si>
  <si>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</si>
  <si>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</si>
  <si>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</si>
  <si>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</si>
  <si>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</si>
  <si>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</si>
  <si>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</si>
  <si>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</si>
  <si>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</si>
  <si>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</si>
  <si>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</si>
  <si>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</si>
  <si>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</si>
  <si>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</si>
  <si>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</si>
  <si>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</si>
  <si>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</si>
  <si>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</si>
  <si>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</si>
  <si>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</si>
  <si>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</si>
  <si>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</si>
  <si>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</si>
  <si>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</si>
  <si>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</si>
  <si>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</si>
  <si>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</si>
  <si>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</si>
  <si>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</si>
  <si>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</si>
  <si>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</si>
  <si>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</si>
  <si>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</si>
  <si>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</si>
  <si>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</si>
  <si>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</si>
  <si>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</si>
  <si>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</si>
  <si>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</si>
  <si>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</si>
  <si>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</si>
  <si>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</si>
  <si>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</si>
  <si>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</si>
  <si>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</si>
  <si>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</si>
  <si>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</si>
  <si>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</si>
  <si>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</si>
  <si>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</si>
  <si>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</si>
  <si>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</si>
  <si>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</si>
  <si>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</si>
  <si>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</si>
  <si>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</si>
  <si>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</si>
  <si>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</si>
  <si>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</si>
  <si>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</si>
  <si>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</si>
  <si>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</si>
  <si>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</si>
  <si>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</si>
  <si>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</si>
  <si>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</si>
  <si>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</si>
  <si>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</si>
  <si>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</si>
  <si>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</si>
  <si>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</si>
  <si>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</si>
  <si>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</si>
  <si>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</si>
  <si>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</si>
  <si>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</si>
  <si>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</si>
  <si>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</si>
  <si>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</si>
  <si>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</si>
  <si>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</si>
  <si>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</si>
  <si>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</si>
  <si>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</si>
  <si>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</si>
  <si>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</si>
  <si>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</si>
  <si>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</si>
  <si>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</si>
  <si>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</si>
  <si>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</si>
  <si>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</si>
  <si>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</si>
  <si>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</si>
  <si>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</si>
  <si>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</si>
  <si>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</si>
  <si>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</si>
  <si>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</si>
  <si>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</si>
  <si>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</si>
  <si>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</si>
  <si>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</si>
  <si>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</si>
  <si>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</si>
  <si>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</si>
  <si>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</si>
  <si>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</si>
  <si>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</si>
  <si>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</si>
  <si>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</si>
  <si>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</si>
  <si>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</si>
  <si>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</si>
  <si>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</si>
  <si>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</si>
  <si>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</si>
  <si>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</si>
  <si>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</si>
  <si>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</si>
  <si>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</si>
  <si>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</si>
  <si>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</si>
  <si>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</si>
  <si>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</si>
  <si>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</si>
  <si>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</si>
  <si>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</si>
  <si>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</si>
  <si>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</si>
  <si>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</si>
  <si>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</si>
  <si>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</si>
  <si>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</si>
  <si>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</si>
  <si>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</si>
  <si>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</si>
  <si>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</si>
  <si>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</si>
  <si>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</si>
  <si>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</si>
  <si>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</si>
  <si>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</si>
  <si>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</si>
  <si>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</si>
  <si>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</si>
  <si>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</si>
  <si>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</si>
  <si>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</si>
  <si>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</si>
  <si>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</si>
  <si>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</si>
  <si>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</si>
  <si>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</si>
  <si>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</si>
  <si>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</si>
  <si>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</si>
  <si>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</si>
  <si>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</si>
  <si>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</si>
  <si>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</si>
  <si>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</si>
  <si>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</si>
  <si>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</si>
  <si>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</si>
  <si>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</si>
  <si>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</si>
  <si>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</si>
  <si>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</si>
  <si>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</si>
  <si>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</si>
  <si>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</si>
  <si>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</si>
  <si>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</si>
  <si>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</si>
  <si>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</si>
  <si>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</si>
  <si>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</si>
  <si>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</si>
  <si>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</si>
  <si>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</si>
  <si>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</si>
  <si>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</si>
  <si>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</si>
  <si>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</si>
  <si>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</si>
  <si>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</si>
  <si>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</si>
  <si>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</si>
  <si>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</si>
  <si>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</si>
  <si>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</si>
  <si>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</si>
  <si>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</si>
  <si>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</si>
  <si>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</si>
  <si>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</si>
  <si>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</si>
  <si>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</si>
  <si>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</si>
  <si>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</si>
  <si>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</si>
  <si>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</si>
  <si>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</si>
  <si>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</si>
  <si>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</si>
  <si>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</si>
  <si>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</si>
  <si>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</si>
  <si>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</si>
  <si>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</si>
  <si>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</si>
  <si>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</si>
  <si>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</si>
  <si>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</si>
  <si>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</si>
  <si>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</si>
  <si>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</si>
  <si>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</si>
  <si>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</si>
  <si>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</si>
  <si>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</si>
  <si>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</si>
  <si>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</si>
  <si>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</si>
  <si>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</si>
  <si>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</si>
  <si>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</si>
  <si>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</si>
  <si>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</si>
  <si>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</si>
  <si>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</si>
  <si>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</si>
  <si>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</si>
  <si>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</si>
  <si>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</si>
  <si>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</si>
  <si>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</si>
  <si>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</si>
  <si>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</si>
  <si>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</si>
  <si>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</si>
  <si>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</si>
  <si>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</si>
  <si>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</si>
  <si>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</si>
  <si>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</si>
  <si>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</si>
  <si>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</si>
  <si>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</si>
  <si>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</si>
  <si>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</si>
  <si>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</si>
  <si>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</si>
  <si>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</si>
  <si>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</si>
  <si>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</si>
  <si>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</si>
  <si>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</si>
  <si>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</si>
  <si>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</si>
  <si>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</si>
  <si>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</si>
  <si>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</si>
  <si>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</si>
  <si>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</si>
  <si>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</si>
  <si>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</si>
  <si>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</si>
  <si>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</si>
  <si>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</si>
  <si>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</si>
  <si>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</si>
  <si>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</si>
  <si>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</si>
  <si>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</si>
  <si>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</si>
  <si>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</si>
  <si>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</si>
  <si>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</si>
  <si>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</si>
  <si>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</si>
  <si>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</si>
  <si>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</si>
  <si>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</si>
  <si>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</si>
  <si>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</si>
  <si>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</si>
  <si>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</si>
  <si>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</si>
  <si>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</si>
  <si>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</si>
  <si>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</si>
  <si>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</si>
  <si>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</si>
  <si>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</si>
  <si>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</si>
  <si>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</si>
  <si>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</si>
  <si>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</si>
  <si>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</si>
  <si>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</si>
  <si>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</si>
  <si>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</si>
  <si>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</si>
  <si>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</si>
  <si>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</si>
  <si>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</si>
  <si>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</si>
  <si>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</si>
  <si>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</si>
  <si>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</si>
  <si>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</si>
  <si>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</si>
  <si>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</si>
  <si>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</si>
  <si>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</si>
  <si>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</si>
  <si>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</si>
  <si>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</si>
  <si>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</si>
  <si>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</si>
  <si>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</si>
  <si>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</si>
  <si>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</si>
  <si>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</si>
  <si>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</si>
  <si>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</si>
  <si>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</si>
  <si>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</si>
  <si>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</si>
  <si>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</si>
  <si>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</si>
  <si>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</si>
  <si>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</si>
  <si>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</si>
  <si>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</si>
  <si>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</si>
  <si>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</si>
  <si>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</si>
  <si>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</si>
  <si>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</si>
  <si>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</si>
  <si>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</si>
  <si>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</si>
  <si>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</si>
  <si>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</si>
  <si>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</si>
  <si>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</si>
  <si>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</si>
  <si>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</si>
  <si>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</si>
  <si>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</si>
  <si>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</si>
  <si>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</si>
  <si>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</si>
  <si>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</si>
  <si>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</si>
  <si>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</si>
  <si>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</si>
  <si>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</si>
  <si>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</si>
  <si>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</si>
  <si>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</si>
  <si>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</si>
  <si>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</si>
  <si>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</si>
  <si>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</si>
  <si>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</si>
  <si>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</si>
  <si>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</si>
  <si>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</si>
  <si>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</si>
  <si>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</si>
  <si>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</si>
  <si>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</si>
  <si>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</si>
  <si>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</si>
  <si>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</si>
  <si>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</si>
  <si>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</si>
  <si>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</si>
  <si>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</si>
  <si>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</si>
  <si>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</si>
  <si>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</si>
  <si>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</si>
  <si>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</si>
  <si>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</si>
  <si>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</si>
  <si>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</si>
  <si>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</si>
  <si>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</si>
  <si>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</si>
  <si>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</si>
  <si>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</si>
  <si>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</si>
  <si>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</si>
  <si>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</si>
  <si>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</si>
  <si>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</si>
  <si>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</si>
  <si>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</si>
  <si>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</si>
  <si>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</si>
  <si>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</si>
  <si>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</si>
  <si>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</si>
  <si>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</si>
  <si>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</si>
  <si>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</si>
  <si>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</si>
  <si>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</si>
  <si>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</si>
  <si>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</si>
  <si>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</si>
  <si>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</si>
  <si>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</si>
  <si>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</si>
  <si>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</si>
  <si>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</si>
  <si>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</si>
  <si>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</si>
  <si>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</si>
  <si>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</si>
  <si>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</si>
  <si>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</si>
  <si>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</si>
  <si>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</si>
  <si>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</si>
  <si>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</si>
  <si>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</si>
  <si>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</si>
  <si>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</si>
  <si>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</si>
  <si>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</si>
  <si>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</si>
  <si>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</si>
  <si>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</si>
  <si>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</si>
  <si>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</si>
  <si>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</si>
  <si>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</si>
  <si>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</si>
  <si>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</si>
  <si>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</si>
  <si>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</si>
  <si>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</si>
  <si>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</si>
  <si>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</si>
  <si>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</si>
  <si>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</si>
  <si>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</si>
  <si>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</si>
  <si>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</si>
  <si>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</si>
  <si>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</si>
  <si>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</si>
  <si>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</si>
  <si>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</si>
  <si>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</si>
  <si>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</si>
  <si>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</si>
  <si>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</si>
  <si>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</si>
  <si>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</si>
  <si>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</si>
  <si>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</si>
  <si>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</si>
  <si>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</si>
  <si>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</si>
  <si>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</si>
  <si>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</si>
  <si>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</si>
  <si>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</si>
  <si>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</si>
  <si>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</si>
  <si>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</si>
  <si>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</si>
  <si>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</si>
  <si>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</si>
  <si>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</si>
  <si>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</si>
  <si>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</si>
  <si>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</si>
  <si>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</si>
  <si>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</si>
  <si>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</si>
  <si>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</si>
  <si>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</si>
  <si>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</si>
  <si>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</si>
  <si>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</si>
  <si>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</si>
  <si>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</si>
  <si>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</si>
  <si>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</si>
  <si>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</si>
  <si>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</si>
  <si>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</si>
  <si>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</si>
  <si>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</si>
  <si>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</si>
  <si>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</si>
  <si>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</si>
  <si>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</si>
  <si>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A-III(A400)</t>
  </si>
  <si>
    <t>A-IV</t>
  </si>
  <si>
    <t>A-V</t>
  </si>
  <si>
    <t>A-II(A300)</t>
  </si>
  <si>
    <t>Вр-I</t>
  </si>
  <si>
    <t>Вр-II</t>
  </si>
  <si>
    <t>С235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</si>
  <si>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</si>
  <si>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</si>
  <si>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</si>
  <si>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</si>
  <si>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</si>
  <si>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</si>
  <si>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</si>
  <si>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</si>
  <si>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</si>
  <si>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</si>
  <si>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</si>
  <si>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</si>
  <si>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</si>
  <si>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</si>
  <si>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</si>
  <si>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</si>
  <si>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|Содержание|</t>
  </si>
  <si>
    <t>!System</t>
  </si>
  <si>
    <t>Поз.</t>
  </si>
  <si>
    <t>Обозначение</t>
  </si>
  <si>
    <t>Наименование</t>
  </si>
  <si>
    <t>Прокат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</si>
  <si>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</si>
  <si>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</si>
  <si>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</si>
  <si>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</si>
  <si>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</si>
  <si>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</si>
  <si>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</si>
  <si>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</si>
  <si>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</si>
  <si>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</si>
  <si>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</si>
  <si>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</si>
  <si>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</si>
  <si>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</si>
  <si>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</si>
  <si>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</si>
  <si>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</si>
  <si>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</si>
  <si>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</si>
  <si>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</si>
  <si>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!!!</t>
  </si>
  <si>
    <t>Основной</t>
  </si>
  <si>
    <t>НЕТ БЕТОНА</t>
  </si>
  <si>
    <t>Вертикальный стержень</t>
  </si>
  <si>
    <t>Горизонтальный стержень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</si>
  <si>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</si>
  <si>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</si>
  <si>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</si>
  <si>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</si>
  <si>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</si>
  <si>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</si>
  <si>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</si>
  <si>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</si>
  <si>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</si>
  <si>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</si>
  <si>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</si>
  <si>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</si>
  <si>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</si>
  <si>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</si>
  <si>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</si>
  <si>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</si>
  <si>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</si>
  <si>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</si>
  <si>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</si>
  <si>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---</t>
  </si>
  <si>
    <t>Изделия_спец.И</t>
  </si>
  <si>
    <t>ГОСТ 25192-2012</t>
  </si>
  <si>
    <t>ГОСТ 27772-2015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</si>
  <si>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</si>
  <si>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</si>
  <si>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</si>
  <si>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</si>
  <si>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</si>
  <si>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</si>
  <si>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</si>
  <si>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</si>
  <si>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</si>
  <si>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</si>
  <si>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</si>
  <si>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</si>
  <si>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</si>
  <si>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</si>
  <si>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</si>
  <si>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</si>
  <si>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</si>
  <si>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</si>
  <si>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</si>
  <si>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</si>
  <si>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</si>
  <si>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</si>
  <si>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</si>
  <si>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</si>
  <si>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</si>
  <si>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</si>
  <si>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</si>
  <si>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</si>
  <si>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</si>
  <si>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</si>
  <si>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</si>
  <si>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</si>
  <si>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</si>
  <si>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</si>
  <si>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</si>
  <si>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</si>
  <si>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</si>
  <si>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</si>
  <si>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</si>
  <si>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</si>
  <si>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</si>
  <si>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</si>
  <si>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 xml:space="preserve"> Фон верхняя сетка</t>
  </si>
  <si>
    <t>ГОСТ 19903-2005</t>
  </si>
  <si>
    <t>Толщина, мм</t>
  </si>
  <si>
    <t>Периметр отверстий, мм.</t>
  </si>
  <si>
    <t xml:space="preserve"> </t>
  </si>
  <si>
    <t>данный лист</t>
  </si>
  <si>
    <t>ГОСТ 8509-93</t>
  </si>
  <si>
    <t>ТУ 5775-011-17925162-2003</t>
  </si>
  <si>
    <t>ГОСТ 34028-2016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</si>
  <si>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</si>
  <si>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</si>
  <si>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</si>
  <si>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</si>
  <si>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</si>
  <si>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</si>
  <si>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</si>
  <si>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</si>
  <si>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</si>
  <si>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</si>
  <si>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</si>
  <si>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</si>
  <si>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</si>
  <si>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</si>
  <si>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</si>
  <si>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</si>
  <si>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</si>
  <si>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</si>
  <si>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</si>
  <si>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</si>
  <si>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</si>
  <si>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</si>
  <si>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</si>
  <si>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</si>
  <si>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</si>
  <si>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</si>
  <si>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</si>
  <si>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</si>
  <si>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</si>
  <si>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</si>
  <si>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</si>
  <si>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</si>
  <si>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</si>
  <si>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</si>
  <si>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</si>
  <si>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</si>
  <si>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</si>
  <si>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</si>
  <si>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</si>
  <si>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</si>
  <si>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</si>
  <si>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</si>
  <si>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</si>
  <si>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</si>
  <si>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</si>
  <si>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</si>
  <si>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</si>
  <si>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</si>
  <si>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</si>
  <si>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</si>
  <si>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</si>
  <si>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</si>
  <si>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</si>
  <si>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</si>
  <si>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</si>
  <si>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</si>
  <si>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</si>
  <si>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</si>
  <si>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</si>
  <si>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</si>
  <si>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</si>
  <si>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</si>
  <si>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</si>
  <si>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</si>
  <si>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</si>
  <si>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</si>
  <si>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</si>
  <si>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</si>
  <si>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</si>
  <si>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</si>
  <si>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</si>
  <si>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</si>
  <si>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</si>
  <si>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</si>
  <si>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</si>
  <si>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</si>
  <si>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</si>
  <si>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</si>
  <si>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</si>
  <si>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</si>
  <si>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</si>
  <si>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</si>
  <si>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</si>
  <si>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</si>
  <si>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</si>
  <si>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</si>
  <si>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</si>
  <si>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</si>
  <si>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</si>
  <si>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</si>
  <si>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</si>
  <si>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</si>
  <si>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</si>
  <si>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</si>
  <si>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</si>
  <si>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</si>
  <si>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</si>
  <si>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</si>
  <si>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</si>
  <si>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</si>
  <si>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</si>
  <si>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</si>
  <si>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</si>
  <si>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</si>
  <si>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</si>
  <si>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</si>
  <si>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</si>
  <si>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</si>
  <si>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</si>
  <si>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</si>
  <si>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</si>
  <si>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</si>
  <si>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</si>
  <si>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</si>
  <si>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</si>
  <si>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</si>
  <si>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</si>
  <si>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</si>
  <si>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</si>
  <si>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</si>
  <si>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</si>
  <si>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</si>
  <si>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</si>
  <si>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</si>
  <si>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</si>
  <si>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</si>
  <si>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</si>
  <si>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</si>
  <si>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</si>
  <si>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</si>
  <si>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</si>
  <si>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</si>
  <si>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</si>
  <si>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</si>
  <si>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</si>
  <si>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</si>
  <si>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</si>
  <si>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</si>
  <si>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</si>
  <si>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</si>
  <si>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</si>
  <si>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</si>
  <si>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</si>
  <si>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</si>
  <si>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</si>
  <si>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</si>
  <si>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</si>
  <si>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</si>
  <si>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Лист_пласт</t>
  </si>
  <si>
    <t>Мн1</t>
  </si>
  <si>
    <t>Закладная деталь Мн1</t>
  </si>
  <si>
    <t>анкеры</t>
  </si>
  <si>
    <t>220х220</t>
  </si>
  <si>
    <t>40х40</t>
  </si>
  <si>
    <t>Закладная деталь Му1</t>
  </si>
  <si>
    <t>Му1</t>
  </si>
  <si>
    <t>100х100х8</t>
  </si>
  <si>
    <t>95х95</t>
  </si>
  <si>
    <t>Закладная деталь Му2</t>
  </si>
  <si>
    <t>Му2</t>
  </si>
  <si>
    <t>Бетон В7.5</t>
  </si>
  <si>
    <t>Битум 70/30 в 2 слоя</t>
  </si>
  <si>
    <t>Площадь подготовки,кв.м</t>
  </si>
  <si>
    <t>Бетон В25 W6 F150</t>
  </si>
  <si>
    <t>⌀12 A500C L= п.м.</t>
  </si>
  <si>
    <t>Фон нижняя сетка</t>
  </si>
  <si>
    <t xml:space="preserve"> П-шка по торцам фунд. Плиты</t>
  </si>
  <si>
    <t>Длина стены, мм.</t>
  </si>
  <si>
    <t>Площадь подошвы, кв.м</t>
  </si>
  <si>
    <t>Спм1</t>
  </si>
  <si>
    <t>Спм1_спец</t>
  </si>
  <si>
    <t>Фон стены нижняя сетка</t>
  </si>
  <si>
    <t xml:space="preserve"> Фон стены верхняя сетка</t>
  </si>
  <si>
    <t>Площадь стены, кв.м.</t>
  </si>
  <si>
    <t xml:space="preserve">Г-шка, выпуски в стены, двойная </t>
  </si>
  <si>
    <t>Крп20</t>
  </si>
  <si>
    <t>Каркас Крп20</t>
  </si>
  <si>
    <t>С-образный, хомут в стене</t>
  </si>
  <si>
    <t>⌀12 A500C L=1480мм.</t>
  </si>
  <si>
    <t>⌀12 A500C L=870мм.</t>
  </si>
  <si>
    <t>Спм1_об</t>
  </si>
  <si>
    <t>20 4 4/ 21 19 27</t>
  </si>
  <si>
    <t>490,25 кг.</t>
  </si>
  <si>
    <t>1476,6 кг.</t>
  </si>
  <si>
    <t>8564,55 кг.</t>
  </si>
  <si>
    <t>Гидрошпонка ДЗ-140/30-4/35</t>
  </si>
  <si>
    <t>Экструдированный
пенополистерол, t=30 мм</t>
  </si>
  <si>
    <t>Стена подпорная монолитная Спм1</t>
  </si>
  <si>
    <t>Праймер битумный концентрат 0.35л/кв.м</t>
  </si>
  <si>
    <t>⌀6 A-I(A240) L=245мм.</t>
  </si>
  <si>
    <t xml:space="preserve"> П-шка по верху и торцу стены</t>
  </si>
  <si>
    <t>1410,4 кг.</t>
  </si>
  <si>
    <t>117 кг.</t>
  </si>
  <si>
    <t>PC0012-da-rogojin</t>
  </si>
  <si>
    <t>check</t>
  </si>
  <si>
    <t>Сортаменты обновлёны</t>
  </si>
  <si>
    <t>тр_квадрат_по_ГОСТ_8639_82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</si>
  <si>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</si>
  <si>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</si>
  <si>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</si>
  <si>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</si>
  <si>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</si>
  <si>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</si>
  <si>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</si>
  <si>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</si>
  <si>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</si>
  <si>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</si>
  <si>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</si>
  <si>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</si>
  <si>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</si>
  <si>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</si>
  <si>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</si>
  <si>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</si>
  <si>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</si>
  <si>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</si>
  <si>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</si>
  <si>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</si>
  <si>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</si>
  <si>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</si>
  <si>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</si>
  <si>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</si>
  <si>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</si>
  <si>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</si>
  <si>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</si>
  <si>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</si>
  <si>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</si>
  <si>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</si>
  <si>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</si>
  <si>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</si>
  <si>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</si>
  <si>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</si>
  <si>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</si>
  <si>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</si>
  <si>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</si>
  <si>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</si>
  <si>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</si>
  <si>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</si>
  <si>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</si>
  <si>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</si>
  <si>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</si>
  <si>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</si>
  <si>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</si>
  <si>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</si>
  <si>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</si>
  <si>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</si>
  <si>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</si>
  <si>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</si>
  <si>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</si>
  <si>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</si>
  <si>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</si>
  <si>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</si>
  <si>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</si>
  <si>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</si>
  <si>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</si>
  <si>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</si>
  <si>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</si>
  <si>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</si>
  <si>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</si>
  <si>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</si>
  <si>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</si>
  <si>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</si>
  <si>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</si>
  <si>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</si>
  <si>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</si>
  <si>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</si>
  <si>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</si>
  <si>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</si>
  <si>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</si>
  <si>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</si>
  <si>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</si>
  <si>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</si>
  <si>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</si>
  <si>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</si>
  <si>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</si>
  <si>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</si>
  <si>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</si>
  <si>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</si>
  <si>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</si>
  <si>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</si>
  <si>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</si>
  <si>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</si>
  <si>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</si>
  <si>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</si>
  <si>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</si>
  <si>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</si>
  <si>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</si>
  <si>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</si>
  <si>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</si>
  <si>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</si>
  <si>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</si>
  <si>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</si>
  <si>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</si>
  <si>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</si>
  <si>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</si>
  <si>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</si>
  <si>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</si>
  <si>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</si>
  <si>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</si>
  <si>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</si>
  <si>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</si>
  <si>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</si>
  <si>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</si>
  <si>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</si>
  <si>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</si>
  <si>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</si>
  <si>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</si>
  <si>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</si>
  <si>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</si>
  <si>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</si>
  <si>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</si>
  <si>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</si>
  <si>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</si>
  <si>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</si>
  <si>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</si>
  <si>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</si>
  <si>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</si>
  <si>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</si>
  <si>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</si>
  <si>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</si>
  <si>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</si>
  <si>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</si>
  <si>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</si>
  <si>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</si>
  <si>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</si>
  <si>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</si>
  <si>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</si>
  <si>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</si>
  <si>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</si>
  <si>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</si>
  <si>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</si>
  <si>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</si>
  <si>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</si>
  <si>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</si>
  <si>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</si>
  <si>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</si>
  <si>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</si>
  <si>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</si>
  <si>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</si>
  <si>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</si>
  <si>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</si>
  <si>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</si>
  <si>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</si>
  <si>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</si>
  <si>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</si>
  <si>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</si>
  <si>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</si>
  <si>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</si>
  <si>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</si>
  <si>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</si>
  <si>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</si>
  <si>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</si>
  <si>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</si>
  <si>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</si>
  <si>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</si>
  <si>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</si>
  <si>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</si>
  <si>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</si>
  <si>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</si>
  <si>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</si>
  <si>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</si>
  <si>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</si>
  <si>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</si>
  <si>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</si>
  <si>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</si>
  <si>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</si>
  <si>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</si>
  <si>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</si>
  <si>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</si>
  <si>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</si>
  <si>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</si>
  <si>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</si>
  <si>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</si>
  <si>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</si>
  <si>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</si>
  <si>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</si>
  <si>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</si>
  <si>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</si>
  <si>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</si>
  <si>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</si>
  <si>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</si>
  <si>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</si>
  <si>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</si>
  <si>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</si>
  <si>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</si>
  <si>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</si>
  <si>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</si>
  <si>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</si>
  <si>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</si>
  <si>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</si>
  <si>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</si>
  <si>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</si>
  <si>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</si>
  <si>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</si>
  <si>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</si>
  <si>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</si>
  <si>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</si>
  <si>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</si>
  <si>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</si>
  <si>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</si>
  <si>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</si>
  <si>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</si>
  <si>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</si>
  <si>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</si>
  <si>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</si>
  <si>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</si>
  <si>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</si>
  <si>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</si>
  <si>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</si>
  <si>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</si>
  <si>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</si>
  <si>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</si>
  <si>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</si>
  <si>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</si>
  <si>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</si>
  <si>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</si>
  <si>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</si>
  <si>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</si>
  <si>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</si>
  <si>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</si>
  <si>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</si>
  <si>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</si>
  <si>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</si>
  <si>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</si>
  <si>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</si>
  <si>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</si>
  <si>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</si>
  <si>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</si>
  <si>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</si>
  <si>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</si>
  <si>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</si>
  <si>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</si>
  <si>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</si>
  <si>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</si>
  <si>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</si>
  <si>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</si>
  <si>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</si>
  <si>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</si>
  <si>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</si>
  <si>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</si>
  <si>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</si>
  <si>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</si>
  <si>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</si>
  <si>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</si>
  <si>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</si>
  <si>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</si>
  <si>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</si>
  <si>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</si>
  <si>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</si>
  <si>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</si>
  <si>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</si>
  <si>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</si>
  <si>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</si>
  <si>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</si>
  <si>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</si>
  <si>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</si>
  <si>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</si>
  <si>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</si>
  <si>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</si>
  <si>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</si>
  <si>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</si>
  <si>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</si>
  <si>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</si>
  <si>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</si>
  <si>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</si>
  <si>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</si>
  <si>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</si>
  <si>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</si>
  <si>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</si>
  <si>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</si>
  <si>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</si>
  <si>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</si>
  <si>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</si>
  <si>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</si>
  <si>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</si>
  <si>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</si>
  <si>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</si>
  <si>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</si>
  <si>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</si>
  <si>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</si>
  <si>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</si>
  <si>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</si>
  <si>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</si>
  <si>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</si>
  <si>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</si>
  <si>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</si>
  <si>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</si>
  <si>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</si>
  <si>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</si>
  <si>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</si>
  <si>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</si>
  <si>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</si>
  <si>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</si>
  <si>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С255-1</t>
  </si>
  <si>
    <t>С345-1</t>
  </si>
  <si>
    <t>С355-1</t>
  </si>
  <si>
    <t>С390-1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</si>
  <si>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</si>
  <si>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</si>
  <si>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</si>
  <si>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</si>
  <si>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</si>
  <si>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</si>
  <si>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</si>
  <si>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</si>
  <si>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</si>
  <si>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</si>
  <si>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</si>
  <si>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</si>
  <si>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</si>
  <si>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</si>
  <si>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</si>
  <si>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</si>
  <si>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</si>
  <si>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</si>
  <si>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</si>
  <si>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Кол-во</t>
  </si>
  <si>
    <t>Масса ед., кг.</t>
  </si>
  <si>
    <t>Примечание</t>
  </si>
  <si>
    <t>Стена подпорная монолитная Спм1, на все</t>
  </si>
  <si>
    <t>5,48 кг.</t>
  </si>
  <si>
    <t>17,82 кг.</t>
  </si>
  <si>
    <t>68,6 кг.</t>
  </si>
  <si>
    <t>ОК</t>
  </si>
  <si>
    <t>_об</t>
  </si>
  <si>
    <t>Ошибка имени листа или файла</t>
  </si>
  <si>
    <t>12150,7 кг.</t>
  </si>
  <si>
    <t>1,05</t>
  </si>
  <si>
    <t>20 5 2/ 12 43 32</t>
  </si>
  <si>
    <t>Марка элемента</t>
  </si>
  <si>
    <t>Изделия арматурные</t>
  </si>
  <si>
    <t>Изделия закладные</t>
  </si>
  <si>
    <t>Всего</t>
  </si>
  <si>
    <t>Объём бетона, куб.м.</t>
  </si>
  <si>
    <t>Арматура класса</t>
  </si>
  <si>
    <t>С245
ГОСТ 27772-2015</t>
  </si>
  <si>
    <t>ГОСТ 19903-2015</t>
  </si>
  <si>
    <t>⌀12</t>
  </si>
  <si>
    <t>⌀6</t>
  </si>
  <si>
    <t>⌀10</t>
  </si>
  <si>
    <t>⌀14</t>
  </si>
  <si>
    <t>Спм1, на все</t>
  </si>
  <si>
    <t>Спм1_кж</t>
  </si>
  <si>
    <t>_кж</t>
  </si>
  <si>
    <t>20 5 2/ 12 43 39</t>
  </si>
  <si>
    <t>КМ_спец</t>
  </si>
  <si>
    <t>ГОСТ Р 57837-2017</t>
  </si>
  <si>
    <t>Балки</t>
  </si>
  <si>
    <t>Колонны</t>
  </si>
  <si>
    <t>Площадки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</si>
  <si>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</si>
  <si>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</si>
  <si>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</si>
  <si>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</si>
  <si>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</si>
  <si>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</si>
  <si>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Двутавры стальной горячекатаный с параллельными гранями полок
ГОСТ Р 57837-2017</t>
  </si>
  <si>
    <t>С255
ГОСТ 27772-2015</t>
  </si>
  <si>
    <t>Итого</t>
  </si>
  <si>
    <t>Всего профиля:</t>
  </si>
  <si>
    <t>Всего масса металла:</t>
  </si>
  <si>
    <t>В том числе по маркам:</t>
  </si>
  <si>
    <t>Антикоррозийная окраска</t>
  </si>
  <si>
    <t>Покрытие тип 1 по см. примечания, кв.м.</t>
  </si>
  <si>
    <t>Покрытие тип 2 по см. примечания, кв.м.</t>
  </si>
  <si>
    <t>КМ_км</t>
  </si>
  <si>
    <t>_км</t>
  </si>
  <si>
    <t>20 5 2/ 12 47 13</t>
  </si>
  <si>
    <t>С345-3
ГОСТ 27772-2015</t>
  </si>
  <si>
    <t xml:space="preserve"> Двутавр 30С2 L=6000мм.</t>
  </si>
  <si>
    <t>634,8 кг.</t>
  </si>
  <si>
    <t xml:space="preserve"> Двутавр 30Ш0 L=8000мм.</t>
  </si>
  <si>
    <t>772,8 кг.</t>
  </si>
  <si>
    <t xml:space="preserve"> Двутавр 30Ш1 L=2000мм.</t>
  </si>
  <si>
    <t>3408 кг.</t>
  </si>
  <si>
    <t xml:space="preserve"> Двутавр 30Ш2 L=2000мм.</t>
  </si>
  <si>
    <t>6860 кг.</t>
  </si>
  <si>
    <t xml:space="preserve"> Двутавр 30Ш3 L=2000мм.</t>
  </si>
  <si>
    <t>10694,1 кг.</t>
  </si>
  <si>
    <t xml:space="preserve"> Двутавр 30Ш4 L=2000мм.</t>
  </si>
  <si>
    <t>16547,61 кг.</t>
  </si>
  <si>
    <t xml:space="preserve"> Двутавр 30Ш5 L=2000мм.</t>
  </si>
  <si>
    <t>25372,5 кг.</t>
  </si>
  <si>
    <t xml:space="preserve"> Двутавр 35Ш4 L=2000мм.</t>
  </si>
  <si>
    <t>27682,2 кг.</t>
  </si>
  <si>
    <t xml:space="preserve"> Двутавр 50Ш1 L=2000мм.</t>
  </si>
  <si>
    <t>30719,8 кг.</t>
  </si>
  <si>
    <t xml:space="preserve"> Двутавр 20Ш4 L=2000мм.</t>
  </si>
  <si>
    <t>17905,6 кг.</t>
  </si>
  <si>
    <t>см. примечания</t>
  </si>
  <si>
    <t>Покрытие тип 1</t>
  </si>
  <si>
    <t>Покрытие тип 2</t>
  </si>
  <si>
    <t>КМ</t>
  </si>
  <si>
    <t>20 5 2/ 12 48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</si>
</sst>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8"/>
      <name val="Calibri"/>
      <family val="2"/>
      <charset val="204"/>
      <scheme val="minor"/>
    </font>
    <font>
      <b/>
      <sz val="12"/>
      <color theme="1"/>
      <name val="ISOCPEUR"/>
      <family val="2"/>
      <charset val="204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75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1" fillId="0" borderId="0" xfId="0" applyFont="1" applyBorder="1"/>
    <xf numFmtId="0" fontId="21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22" fontId="0" fillId="0" borderId="0" xfId="0" applyNumberFormat="1"/>
    <xf numFmtId="0" fontId="20" fillId="33" borderId="11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 wrapText="1"/>
    </xf>
    <xf numFmtId="0" fontId="20" fillId="33" borderId="14" xfId="0" applyFont="1" applyFill="1" applyBorder="1" applyAlignment="1">
      <alignment horizontal="center" vertical="center" wrapText="1"/>
    </xf>
    <xf numFmtId="0" fontId="20" fillId="34" borderId="16" xfId="0" applyFont="1" applyFill="1" applyBorder="1" applyAlignment="1">
      <alignment horizontal="center" vertical="center" wrapText="1"/>
    </xf>
    <xf numFmtId="0" fontId="20" fillId="36" borderId="11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6" borderId="14" xfId="0" applyFont="1" applyFill="1" applyBorder="1" applyAlignment="1">
      <alignment horizontal="center" vertical="center" wrapText="1"/>
    </xf>
    <xf numFmtId="0" fontId="20" fillId="33" borderId="13" xfId="0" applyFont="1" applyFill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37" borderId="10" xfId="0" applyFont="1" applyFill="1" applyBorder="1" applyAlignment="1">
      <alignment horizontal="center" vertical="center" wrapText="1"/>
    </xf>
    <xf numFmtId="0" fontId="20" fillId="39" borderId="10" xfId="0" applyFont="1" applyFill="1" applyBorder="1" applyAlignment="1">
      <alignment horizontal="center" vertical="center" wrapText="1"/>
    </xf>
    <xf numFmtId="0" fontId="20" fillId="40" borderId="10" xfId="0" applyFont="1" applyFill="1" applyBorder="1" applyAlignment="1">
      <alignment horizontal="center" vertical="center" wrapText="1"/>
    </xf>
    <xf numFmtId="0" fontId="20" fillId="40" borderId="13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38" borderId="13" xfId="0" applyFont="1" applyFill="1" applyBorder="1" applyAlignment="1">
      <alignment horizontal="center" vertical="center" wrapText="1"/>
    </xf>
    <xf numFmtId="0" fontId="0" fillId="0" borderId="0" xfId="0" applyBorder="1"/>
    <xf numFmtId="0" fontId="20" fillId="0" borderId="22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21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 wrapText="1"/>
    </xf>
    <xf numFmtId="0" fontId="24" fillId="0" borderId="10" xfId="0" applyFont="1" applyFill="1" applyBorder="1" applyAlignment="1">
      <alignment horizontal="center" vertical="center" wrapText="1"/>
    </xf>
    <xf numFmtId="0" fontId="24" fillId="0" borderId="14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32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4" fillId="0" borderId="31" xfId="0" applyFont="1" applyFill="1" applyBorder="1" applyAlignment="1">
      <alignment horizontal="center" vertical="center" wrapText="1"/>
    </xf>
    <xf numFmtId="0" fontId="24" fillId="0" borderId="33" xfId="0" applyFont="1" applyFill="1" applyBorder="1" applyAlignment="1">
      <alignment horizontal="center" vertical="center" shrinkToFi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4" fillId="41" borderId="34" xfId="0" applyFont="1" applyFill="1" applyBorder="1" applyAlignment="1">
      <alignment horizontal="center" vertical="center" shrinkToFit="1"/>
    </xf>
    <xf numFmtId="0" fontId="20" fillId="42" borderId="15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textRotation="90" wrapText="1"/>
    </xf>
    <xf numFmtId="0" fontId="20" fillId="0" borderId="10" xfId="0" applyFont="1" applyFill="1" applyBorder="1" applyAlignment="1">
      <alignment horizontal="center" vertical="center" textRotation="90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  <xf numFmtId="2" fontId="20" fillId="0" borderId="13" xfId="0" applyNumberFormat="1" applyFont="1" applyFill="1" applyBorder="1" applyAlignment="1">
      <alignment horizontal="center" vertical="center" wrapText="1"/>
    </xf>
    <xf numFmtId="2" fontId="20" fillId="0" borderId="15" xfId="0" applyNumberFormat="1" applyFont="1" applyFill="1" applyBorder="1" applyAlignment="1">
      <alignment horizontal="center" vertical="center" wrapText="1"/>
    </xf>
    <xf numFmtId="2" fontId="24" fillId="43" borderId="14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00000000-0005-0000-0000-000025000000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427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00B050"/>
  </sheetPr>
  <dimension ref="A1:V12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37"/>
  </cols>
  <sheetData>
    <row r="1" spans="1:22" s="5" customFormat="1" ht="27.95" customHeight="1" x14ac:dyDescent="0.25">
      <c r="A1" s="6" t="s">
        <v>2398</v>
      </c>
      <c r="B1" s="6" t="s">
        <v>2399</v>
      </c>
      <c r="C1" s="6" t="s">
        <v>2362</v>
      </c>
      <c r="D1" s="6" t="s">
        <v>2363</v>
      </c>
      <c r="E1" s="6" t="s">
        <v>2364</v>
      </c>
      <c r="F1" s="6"/>
      <c r="G1" s="6" t="s">
        <v>2400</v>
      </c>
      <c r="H1" s="6" t="s">
        <v>2401</v>
      </c>
      <c r="I1" s="6" t="s">
        <v>2402</v>
      </c>
      <c r="J1" s="6" t="s">
        <v>2403</v>
      </c>
      <c r="K1" s="6" t="s">
        <v>2404</v>
      </c>
      <c r="L1" s="6" t="s">
        <v>2405</v>
      </c>
      <c r="M1" s="6" t="s">
        <v>2406</v>
      </c>
      <c r="N1" s="6" t="s">
        <v>2407</v>
      </c>
      <c r="O1" s="6" t="s">
        <v>2408</v>
      </c>
      <c r="P1" s="6" t="s">
        <v>2409</v>
      </c>
      <c r="Q1" s="6" t="s">
        <v>2410</v>
      </c>
      <c r="R1" s="6" t="s">
        <v>2411</v>
      </c>
      <c r="S1" s="6" t="s">
        <v>2412</v>
      </c>
      <c r="T1" s="6" t="s">
        <v>2413</v>
      </c>
      <c r="U1" s="6" t="s">
        <v>2414</v>
      </c>
      <c r="V1" s="6" t="s">
        <v>2415</v>
      </c>
    </row>
    <row r="2" spans="1:22" x14ac:dyDescent="0.25">
      <c r="C2" s="21" t="s">
        <v>2417</v>
      </c>
      <c r="G2" s="7">
        <v>1.05</v>
      </c>
      <c r="H2" s="7" t="s">
        <v>2416</v>
      </c>
      <c r="I2" s="7" t="b">
        <v>1</v>
      </c>
      <c r="J2" s="7" t="b">
        <v>0</v>
      </c>
      <c r="K2" s="7" t="b">
        <v>1</v>
      </c>
      <c r="L2" s="7" t="b">
        <v>1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1</v>
      </c>
      <c r="U2" s="7" t="b">
        <v>0</v>
      </c>
      <c r="V2" s="7" t="b">
        <v>0</v>
      </c>
    </row>
    <row r="3" spans="1:22" x14ac:dyDescent="0.25">
      <c r="E3" s="21" t="s">
        <v>3015</v>
      </c>
      <c r="G3" s="7">
        <v>1</v>
      </c>
      <c r="H3" s="7" t="s">
        <v>2416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E4" s="21" t="s">
        <v>2641</v>
      </c>
      <c r="G4" s="7">
        <v>1.05</v>
      </c>
      <c r="H4" s="7" t="s">
        <v>2416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21" t="s">
        <v>2651</v>
      </c>
      <c r="G5" s="7">
        <v>1.05</v>
      </c>
      <c r="H5" s="7" t="s">
        <v>2652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1</v>
      </c>
    </row>
    <row r="6" spans="1:22" x14ac:dyDescent="0.25">
      <c r="D6" s="21" t="s">
        <v>2640</v>
      </c>
      <c r="G6" s="7" t="s">
        <v>2997</v>
      </c>
      <c r="H6" s="7" t="s">
        <v>2998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1</v>
      </c>
    </row>
    <row r="7" spans="1:22" x14ac:dyDescent="0.25">
      <c r="D7" s="21" t="s">
        <v>3012</v>
      </c>
      <c r="G7" s="7" t="s">
        <v>2997</v>
      </c>
      <c r="H7" s="7" t="s">
        <v>3014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1</v>
      </c>
    </row>
    <row r="8" spans="1:22" x14ac:dyDescent="0.25">
      <c r="D8" s="21" t="s">
        <v>3035</v>
      </c>
      <c r="G8" s="7">
        <v>1</v>
      </c>
      <c r="H8" s="7" t="s">
        <v>3037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0</v>
      </c>
      <c r="U8" s="7" t="b">
        <v>0</v>
      </c>
      <c r="V8" s="7" t="b">
        <v>0</v>
      </c>
    </row>
    <row r="9" spans="1:22" x14ac:dyDescent="0.25">
      <c r="D9" s="21" t="s">
        <v>3062</v>
      </c>
      <c r="G9" s="7">
        <v>1</v>
      </c>
      <c r="H9" s="7" t="s">
        <v>3063</v>
      </c>
      <c r="I9" s="7" t="b">
        <v>0</v>
      </c>
      <c r="J9" s="7" t="b">
        <v>0</v>
      </c>
      <c r="K9" s="7" t="b">
        <v>0</v>
      </c>
      <c r="L9" s="7" t="b">
        <v>0</v>
      </c>
      <c r="M9" s="7" t="b">
        <v>1</v>
      </c>
      <c r="N9" s="7" t="b">
        <v>0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0</v>
      </c>
      <c r="U9" s="7" t="b">
        <v>0</v>
      </c>
      <c r="V9" s="7" t="b">
        <v>1</v>
      </c>
    </row>
    <row r="10" spans="1:22" x14ac:dyDescent="0.25">
      <c r="B10" s="21" t="s">
        <v>2367</v>
      </c>
    </row>
    <row r="11" spans="1:22" x14ac:dyDescent="0.25">
      <c r="A11" s="21" t="s">
        <v>2397</v>
      </c>
    </row>
    <row r="12" spans="1:22" x14ac:dyDescent="0.25">
      <c r="A12" s="21" t="s">
        <v>2366</v>
      </c>
    </row>
  </sheetData>
  <sortState xmlns:xlrd2="http://schemas.microsoft.com/office/spreadsheetml/2017/richdata2" ref="A2:V12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10" location="'!System'!B2" display="'!System'!B2" xr:uid="{E90A4ACD-75EA-454D-B88A-D4C493115E1E}"/>
    <hyperlink ref="A11" location="'|Лог|'!A1" display="'|Лог|'!A1" xr:uid="{400EDA47-B9E0-4544-87AB-1408B24F53F6}"/>
    <hyperlink ref="A12" location="'|Содержание|'!A1" display="'|Содержание|'!A1" xr:uid="{EABD150A-D55F-4C1E-B8D2-C3F5DD32612D}"/>
    <hyperlink ref="C2" location="'Изделия_спец.И'!C3" display="'Изделия_спец.И'!C3" xr:uid="{02F7714B-C827-4DD7-89E1-272B67105673}"/>
    <hyperlink ref="D9" location="'КМ'!D4" display="'КМ'!D4" xr:uid="{AC56A2DF-E6D9-47C5-850D-988EE7938785}"/>
    <hyperlink ref="D8" location="'КМ_км'!D4" display="'КМ_км'!D4" xr:uid="{6B01952C-F0A6-42D8-97AF-4EECB6A56803}"/>
    <hyperlink ref="E3" location="'КМ_спец'!E3" display="'КМ_спец'!E3" xr:uid="{46362011-881C-42D1-BCB6-DC08E194ECF1}"/>
    <hyperlink ref="D6" location="'Спм1'!D4" display="'Спм1'!D4" xr:uid="{9DB405FF-CC19-45FA-8DEA-85206D15D45B}"/>
    <hyperlink ref="D7" location="'Спм1_кж'!D4" display="'Спм1_кж'!D4" xr:uid="{A6BC2E39-D9A8-4A05-A7C5-293ADD5F0994}"/>
    <hyperlink ref="D5" location="'Спм1_об'!D4" display="'Спм1_об'!D4" xr:uid="{09D0162E-B9B3-4DEB-B330-EE3A8A231897}"/>
    <hyperlink ref="E4" location="'Спм1_спец'!E3" display="'Спм1_спец'!E3" xr:uid="{CC1607D0-CBEF-4416-8670-C7179F4C36AD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6">
    <tabColor rgb="FF000000" tint="1"/>
  </sheetPr>
  <dimension ref="A1:O2320"/>
  <sheetViews>
    <sheetView workbookViewId="0">
      <selection activeCell="E22" sqref="E22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43953.528668981482</v>
      </c>
      <c r="B2" s="1" t="s">
        <v>2664</v>
      </c>
      <c r="C2" s="1" t="s">
        <v>2641</v>
      </c>
      <c r="D2" s="1" t="s">
        <v>2665</v>
      </c>
      <c r="E2" s="1">
        <v>0</v>
      </c>
      <c r="F2" s="1">
        <v>3.85</v>
      </c>
      <c r="G2" s="1">
        <v>3.95</v>
      </c>
      <c r="H2" s="1">
        <v>3.24</v>
      </c>
      <c r="I2" s="1">
        <v>0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43953.528703703705</v>
      </c>
      <c r="B3" s="1" t="s">
        <v>2664</v>
      </c>
      <c r="C3" s="1" t="s">
        <v>2641</v>
      </c>
      <c r="D3" s="1" t="s">
        <v>2665</v>
      </c>
      <c r="E3" s="1">
        <v>0</v>
      </c>
      <c r="F3" s="1">
        <v>3.85</v>
      </c>
      <c r="G3" s="1">
        <v>3.95</v>
      </c>
      <c r="H3" s="1">
        <v>3.24</v>
      </c>
      <c r="I3" s="1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43953.528738425928</v>
      </c>
      <c r="B4" s="1" t="s">
        <v>2664</v>
      </c>
      <c r="C4" s="1" t="s">
        <v>2641</v>
      </c>
      <c r="D4" s="1" t="s">
        <v>2665</v>
      </c>
      <c r="E4" s="1">
        <v>0</v>
      </c>
      <c r="F4" s="1">
        <v>3.85</v>
      </c>
      <c r="G4" s="1">
        <v>3.95</v>
      </c>
      <c r="H4" s="1">
        <v>3.24</v>
      </c>
      <c r="I4" s="1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43953.528946759259</v>
      </c>
      <c r="B5" s="1" t="s">
        <v>2664</v>
      </c>
      <c r="C5" s="1" t="s">
        <v>2641</v>
      </c>
      <c r="D5" s="1" t="s">
        <v>2665</v>
      </c>
      <c r="E5" s="1">
        <v>0</v>
      </c>
      <c r="F5" s="1">
        <v>3.85</v>
      </c>
      <c r="G5" s="1">
        <v>3.95</v>
      </c>
      <c r="H5" s="1">
        <v>3.24</v>
      </c>
      <c r="I5" s="1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43953.528969907406</v>
      </c>
      <c r="B6" s="1" t="s">
        <v>2664</v>
      </c>
      <c r="C6" s="1" t="s">
        <v>2641</v>
      </c>
      <c r="D6" s="1" t="s">
        <v>2665</v>
      </c>
      <c r="E6" s="1">
        <v>0</v>
      </c>
      <c r="F6" s="1">
        <v>3.85</v>
      </c>
      <c r="G6" s="1">
        <v>3.95</v>
      </c>
      <c r="H6" s="1">
        <v>3.24</v>
      </c>
      <c r="I6" s="1">
        <v>1.05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43953.52988425926</v>
      </c>
      <c r="B7" s="1" t="s">
        <v>2664</v>
      </c>
      <c r="C7" s="1" t="s">
        <v>2367</v>
      </c>
      <c r="D7" s="1" t="b">
        <v>1</v>
      </c>
      <c r="E7" s="1" t="s">
        <v>2666</v>
      </c>
      <c r="F7" s="1">
        <v>3.85</v>
      </c>
      <c r="G7" s="1">
        <v>3.95</v>
      </c>
      <c r="H7" s="1">
        <v>3.24</v>
      </c>
      <c r="I7" s="1">
        <v>0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43953.529976851853</v>
      </c>
      <c r="B8" s="1" t="s">
        <v>2664</v>
      </c>
      <c r="C8" s="1" t="s">
        <v>2641</v>
      </c>
      <c r="D8" s="1" t="s">
        <v>2665</v>
      </c>
      <c r="E8" s="1">
        <v>0</v>
      </c>
      <c r="F8" s="1">
        <v>3.85</v>
      </c>
      <c r="G8" s="1">
        <v>3.95</v>
      </c>
      <c r="H8" s="1">
        <v>3.24</v>
      </c>
      <c r="I8" s="1">
        <v>1.05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43953.529988425929</v>
      </c>
      <c r="B9" s="1" t="s">
        <v>2664</v>
      </c>
      <c r="C9" s="1" t="s">
        <v>2651</v>
      </c>
      <c r="D9" s="1"/>
      <c r="E9" s="1" t="s">
        <v>2993</v>
      </c>
      <c r="F9" s="1">
        <v>3.85</v>
      </c>
      <c r="G9" s="1">
        <v>3.95</v>
      </c>
      <c r="H9" s="1">
        <v>3.24</v>
      </c>
      <c r="I9" s="1">
        <v>1.05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43953.530069444445</v>
      </c>
      <c r="B10" s="1" t="s">
        <v>2664</v>
      </c>
      <c r="C10" s="1" t="s">
        <v>2651</v>
      </c>
      <c r="D10" s="1" t="s">
        <v>2994</v>
      </c>
      <c r="E10" s="1" t="s">
        <v>2995</v>
      </c>
      <c r="F10" s="1">
        <v>3.85</v>
      </c>
      <c r="G10" s="1">
        <v>3.95</v>
      </c>
      <c r="H10" s="1">
        <v>3.24</v>
      </c>
      <c r="I10" s="1">
        <v>1.05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43953.530104166668</v>
      </c>
      <c r="B11" s="1" t="s">
        <v>2664</v>
      </c>
      <c r="C11" s="1" t="s">
        <v>2651</v>
      </c>
      <c r="D11" s="1" t="s">
        <v>2994</v>
      </c>
      <c r="E11" s="1" t="s">
        <v>2995</v>
      </c>
      <c r="F11" s="1">
        <v>3.85</v>
      </c>
      <c r="G11" s="1">
        <v>3.95</v>
      </c>
      <c r="H11" s="1">
        <v>3.24</v>
      </c>
      <c r="I11" s="1">
        <v>1.05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43953.530150462961</v>
      </c>
      <c r="B12" s="1" t="s">
        <v>2664</v>
      </c>
      <c r="C12" s="1" t="s">
        <v>2651</v>
      </c>
      <c r="D12" s="1" t="s">
        <v>2994</v>
      </c>
      <c r="E12" s="1" t="s">
        <v>2993</v>
      </c>
      <c r="F12" s="1">
        <v>3.85</v>
      </c>
      <c r="G12" s="1">
        <v>3.95</v>
      </c>
      <c r="H12" s="1">
        <v>3.24</v>
      </c>
      <c r="I12" s="1">
        <v>1.05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43953.530231481483</v>
      </c>
      <c r="B13" s="1" t="s">
        <v>2664</v>
      </c>
      <c r="C13" s="1" t="s">
        <v>2640</v>
      </c>
      <c r="D13" s="1"/>
      <c r="E13" s="1" t="s">
        <v>2993</v>
      </c>
      <c r="F13" s="1">
        <v>3.85</v>
      </c>
      <c r="G13" s="1">
        <v>3.95</v>
      </c>
      <c r="H13" s="1">
        <v>3.24</v>
      </c>
      <c r="I13" s="1">
        <v>1.05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43953.530312499999</v>
      </c>
      <c r="B14" s="1" t="s">
        <v>2664</v>
      </c>
      <c r="C14" s="1" t="s">
        <v>3012</v>
      </c>
      <c r="D14" s="1" t="s">
        <v>3013</v>
      </c>
      <c r="E14" s="1" t="s">
        <v>2993</v>
      </c>
      <c r="F14" s="1">
        <v>3.85</v>
      </c>
      <c r="G14" s="1">
        <v>3.95</v>
      </c>
      <c r="H14" s="1">
        <v>3.24</v>
      </c>
      <c r="I14" s="1">
        <v>1.05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43953.530601851853</v>
      </c>
      <c r="B15" s="1" t="s">
        <v>2664</v>
      </c>
      <c r="C15" s="1" t="s">
        <v>2641</v>
      </c>
      <c r="D15" s="1" t="s">
        <v>2665</v>
      </c>
      <c r="E15" s="1">
        <v>0</v>
      </c>
      <c r="F15" s="1">
        <v>3.85</v>
      </c>
      <c r="G15" s="1">
        <v>3.95</v>
      </c>
      <c r="H15" s="1">
        <v>3.24</v>
      </c>
      <c r="I15" s="1">
        <v>1.05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43953.530925925923</v>
      </c>
      <c r="B16" s="1" t="s">
        <v>2664</v>
      </c>
      <c r="C16" s="1" t="s">
        <v>3015</v>
      </c>
      <c r="D16" s="1" t="s">
        <v>2665</v>
      </c>
      <c r="E16" s="1">
        <v>0</v>
      </c>
      <c r="F16" s="1">
        <v>3.85</v>
      </c>
      <c r="G16" s="1">
        <v>3.95</v>
      </c>
      <c r="H16" s="1">
        <v>3.24</v>
      </c>
      <c r="I16" s="1">
        <v>1.05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43953.531053240738</v>
      </c>
      <c r="B17" s="1" t="s">
        <v>2664</v>
      </c>
      <c r="C17" s="1" t="s">
        <v>3015</v>
      </c>
      <c r="D17" s="1" t="s">
        <v>2665</v>
      </c>
      <c r="E17" s="1">
        <v>0</v>
      </c>
      <c r="F17" s="1">
        <v>3.85</v>
      </c>
      <c r="G17" s="1">
        <v>3.95</v>
      </c>
      <c r="H17" s="1">
        <v>3.24</v>
      </c>
      <c r="I17" s="1">
        <v>1.05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43953.531238425923</v>
      </c>
      <c r="B18" s="1" t="s">
        <v>2664</v>
      </c>
      <c r="C18" s="1" t="s">
        <v>3015</v>
      </c>
      <c r="D18" s="1" t="s">
        <v>2665</v>
      </c>
      <c r="E18" s="1">
        <v>30</v>
      </c>
      <c r="F18" s="1">
        <v>3.85</v>
      </c>
      <c r="G18" s="1">
        <v>3.95</v>
      </c>
      <c r="H18" s="1">
        <v>3.24</v>
      </c>
      <c r="I18" s="1">
        <v>1.05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43953.531412037039</v>
      </c>
      <c r="B19" s="1" t="s">
        <v>2664</v>
      </c>
      <c r="C19" s="1" t="s">
        <v>3015</v>
      </c>
      <c r="D19" s="1" t="s">
        <v>2665</v>
      </c>
      <c r="E19" s="1">
        <v>30</v>
      </c>
      <c r="F19" s="1">
        <v>3.85</v>
      </c>
      <c r="G19" s="1">
        <v>3.95</v>
      </c>
      <c r="H19" s="1">
        <v>3.24</v>
      </c>
      <c r="I19" s="1">
        <v>1.05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43953.531504629631</v>
      </c>
      <c r="B20" s="1" t="s">
        <v>2664</v>
      </c>
      <c r="C20" s="1" t="s">
        <v>3015</v>
      </c>
      <c r="D20" s="1" t="s">
        <v>2665</v>
      </c>
      <c r="E20" s="1">
        <v>30</v>
      </c>
      <c r="F20" s="1">
        <v>3.85</v>
      </c>
      <c r="G20" s="1">
        <v>3.95</v>
      </c>
      <c r="H20" s="1">
        <v>3.24</v>
      </c>
      <c r="I20" s="1">
        <v>1.05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43953.531921296293</v>
      </c>
      <c r="B21" s="1" t="s">
        <v>2664</v>
      </c>
      <c r="C21" s="1" t="s">
        <v>3015</v>
      </c>
      <c r="D21" s="1" t="s">
        <v>2665</v>
      </c>
      <c r="E21" s="1">
        <v>0</v>
      </c>
      <c r="F21" s="1">
        <v>3.85</v>
      </c>
      <c r="G21" s="1">
        <v>3.95</v>
      </c>
      <c r="H21" s="1">
        <v>3.24</v>
      </c>
      <c r="I21" s="1">
        <v>1.05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43953.532141203701</v>
      </c>
      <c r="B22" s="1" t="s">
        <v>2664</v>
      </c>
      <c r="C22" s="1" t="s">
        <v>3015</v>
      </c>
      <c r="D22" s="1" t="s">
        <v>2665</v>
      </c>
      <c r="E22" s="1">
        <v>0</v>
      </c>
      <c r="F22" s="1">
        <v>3.85</v>
      </c>
      <c r="G22" s="1">
        <v>3.95</v>
      </c>
      <c r="H22" s="1">
        <v>3.24</v>
      </c>
      <c r="I22" s="1">
        <v>1.05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43953.532743055555</v>
      </c>
      <c r="B23" s="1" t="s">
        <v>2664</v>
      </c>
      <c r="C23" s="1" t="s">
        <v>3015</v>
      </c>
      <c r="D23" s="1" t="s">
        <v>2665</v>
      </c>
      <c r="E23" s="1">
        <v>0</v>
      </c>
      <c r="F23" s="1">
        <v>3.85</v>
      </c>
      <c r="G23" s="1">
        <v>3.95</v>
      </c>
      <c r="H23" s="1">
        <v>3.24</v>
      </c>
      <c r="I23" s="1">
        <v>0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43953.532789351855</v>
      </c>
      <c r="B24" s="1" t="s">
        <v>2664</v>
      </c>
      <c r="C24" s="1" t="s">
        <v>3035</v>
      </c>
      <c r="D24" s="1" t="s">
        <v>3036</v>
      </c>
      <c r="E24" s="1" t="s">
        <v>2993</v>
      </c>
      <c r="F24" s="1">
        <v>3.85</v>
      </c>
      <c r="G24" s="1">
        <v>3.95</v>
      </c>
      <c r="H24" s="1">
        <v>3.24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43953.533206018517</v>
      </c>
      <c r="B25" s="1" t="s">
        <v>2664</v>
      </c>
      <c r="C25" s="1" t="s">
        <v>3015</v>
      </c>
      <c r="D25" s="1" t="s">
        <v>2665</v>
      </c>
      <c r="E25" s="1">
        <v>0</v>
      </c>
      <c r="F25" s="1">
        <v>3.85</v>
      </c>
      <c r="G25" s="1">
        <v>3.95</v>
      </c>
      <c r="H25" s="1">
        <v>3.24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43953.533217592594</v>
      </c>
      <c r="B26" s="1" t="s">
        <v>2664</v>
      </c>
      <c r="C26" s="1" t="s">
        <v>3035</v>
      </c>
      <c r="D26" s="1"/>
      <c r="E26" s="1" t="s">
        <v>2993</v>
      </c>
      <c r="F26" s="1">
        <v>3.85</v>
      </c>
      <c r="G26" s="1">
        <v>3.95</v>
      </c>
      <c r="H26" s="1">
        <v>3.24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43953.533425925925</v>
      </c>
      <c r="B27" s="1" t="s">
        <v>2664</v>
      </c>
      <c r="C27" s="1" t="s">
        <v>3015</v>
      </c>
      <c r="D27" s="1" t="s">
        <v>2665</v>
      </c>
      <c r="E27" s="1">
        <v>0</v>
      </c>
      <c r="F27" s="1">
        <v>3.85</v>
      </c>
      <c r="G27" s="1">
        <v>3.95</v>
      </c>
      <c r="H27" s="1">
        <v>3.24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43953.533472222225</v>
      </c>
      <c r="B28" s="1" t="s">
        <v>2664</v>
      </c>
      <c r="C28" s="1" t="s">
        <v>3015</v>
      </c>
      <c r="D28" s="1" t="s">
        <v>2665</v>
      </c>
      <c r="E28" s="1">
        <v>0</v>
      </c>
      <c r="F28" s="1">
        <v>3.85</v>
      </c>
      <c r="G28" s="1">
        <v>3.95</v>
      </c>
      <c r="H28" s="1">
        <v>3.24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43953.533472222225</v>
      </c>
      <c r="B29" s="1" t="s">
        <v>2664</v>
      </c>
      <c r="C29" s="1" t="s">
        <v>3035</v>
      </c>
      <c r="D29" s="1"/>
      <c r="E29" s="1" t="s">
        <v>2993</v>
      </c>
      <c r="F29" s="1">
        <v>3.85</v>
      </c>
      <c r="G29" s="1">
        <v>3.95</v>
      </c>
      <c r="H29" s="1">
        <v>3.24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43953.533530092594</v>
      </c>
      <c r="B30" s="1" t="s">
        <v>2664</v>
      </c>
      <c r="C30" s="1" t="s">
        <v>3062</v>
      </c>
      <c r="D30" s="1"/>
      <c r="E30" s="1" t="s">
        <v>2993</v>
      </c>
      <c r="F30" s="1">
        <v>3.85</v>
      </c>
      <c r="G30" s="1">
        <v>3.95</v>
      </c>
      <c r="H30" s="1">
        <v>3.24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5" ht="15.95" customHeight="1" x14ac:dyDescent="0.25">
      <c r="A32" s="4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1:15" ht="15.95" customHeight="1" x14ac:dyDescent="0.25">
      <c r="A33" s="4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ht="15.95" customHeight="1" x14ac:dyDescent="0.25">
      <c r="A34" s="4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ht="15.95" customHeight="1" x14ac:dyDescent="0.25">
      <c r="A35" s="4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 ht="15.95" customHeight="1" x14ac:dyDescent="0.25">
      <c r="A36" s="4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 ht="15.95" customHeight="1" x14ac:dyDescent="0.25">
      <c r="A37" s="4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 ht="15.95" customHeight="1" x14ac:dyDescent="0.25">
      <c r="A38" s="4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 ht="15.95" customHeight="1" x14ac:dyDescent="0.25">
      <c r="A39" s="4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 ht="15.95" customHeight="1" x14ac:dyDescent="0.25">
      <c r="A40" s="4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ht="15.95" customHeight="1" x14ac:dyDescent="0.25">
      <c r="A41" s="4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 ht="15.95" customHeight="1" x14ac:dyDescent="0.25">
      <c r="A42" s="4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1:15" ht="15.95" customHeight="1" x14ac:dyDescent="0.25">
      <c r="A43" s="4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 ht="15.95" customHeight="1" x14ac:dyDescent="0.25">
      <c r="A44" s="4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1:15" ht="15.95" customHeight="1" x14ac:dyDescent="0.25">
      <c r="A45" s="4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1:15" ht="15.95" customHeight="1" x14ac:dyDescent="0.25">
      <c r="A46" s="4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1:15" ht="15.95" customHeight="1" x14ac:dyDescent="0.25">
      <c r="A47" s="4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1:15" ht="15.95" customHeight="1" x14ac:dyDescent="0.25">
      <c r="A48" s="4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1:15" ht="15.95" customHeight="1" x14ac:dyDescent="0.25">
      <c r="A49" s="4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spans="1:15" ht="15.95" customHeight="1" x14ac:dyDescent="0.25">
      <c r="A50" s="4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spans="1:15" ht="15.95" customHeight="1" x14ac:dyDescent="0.25">
      <c r="A51" s="4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spans="1:15" ht="15.95" customHeight="1" x14ac:dyDescent="0.25">
      <c r="A52" s="4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spans="1:15" ht="15.95" customHeight="1" x14ac:dyDescent="0.25">
      <c r="A53" s="4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spans="1:15" ht="15.95" customHeight="1" x14ac:dyDescent="0.25">
      <c r="A54" s="4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spans="1:15" ht="15.95" customHeight="1" x14ac:dyDescent="0.25">
      <c r="A55" s="4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spans="1:15" ht="15.95" customHeight="1" x14ac:dyDescent="0.25">
      <c r="A56" s="4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1:15" ht="15.95" customHeight="1" x14ac:dyDescent="0.25">
      <c r="A57" s="4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1:15" ht="15.95" customHeight="1" x14ac:dyDescent="0.25">
      <c r="A58" s="4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spans="1:15" ht="15.95" customHeight="1" x14ac:dyDescent="0.25">
      <c r="A59" s="4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5" ht="15.95" customHeight="1" x14ac:dyDescent="0.25">
      <c r="A60" s="4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1:15" ht="15.95" customHeight="1" x14ac:dyDescent="0.25">
      <c r="A61" s="4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spans="1:15" ht="15.95" customHeight="1" x14ac:dyDescent="0.25">
      <c r="A62" s="4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spans="1:15" ht="15.95" customHeight="1" x14ac:dyDescent="0.25">
      <c r="A63" s="4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spans="1:15" ht="15.95" customHeight="1" x14ac:dyDescent="0.25">
      <c r="A64" s="4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spans="1:15" ht="15.95" customHeight="1" x14ac:dyDescent="0.25">
      <c r="A65" s="4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spans="1:15" ht="15.95" customHeight="1" x14ac:dyDescent="0.25">
      <c r="A66" s="4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ht="15.95" customHeight="1" x14ac:dyDescent="0.25">
      <c r="A67" s="4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ht="15.95" customHeight="1" x14ac:dyDescent="0.25">
      <c r="A68" s="4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ht="15.95" customHeight="1" x14ac:dyDescent="0.25">
      <c r="A69" s="4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ht="15.95" customHeight="1" x14ac:dyDescent="0.25">
      <c r="A70" s="4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ht="15.95" customHeight="1" x14ac:dyDescent="0.25">
      <c r="A71" s="4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ht="15.95" customHeight="1" x14ac:dyDescent="0.25">
      <c r="A72" s="4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ht="15.95" customHeight="1" x14ac:dyDescent="0.25">
      <c r="A73" s="4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ht="15.95" customHeight="1" x14ac:dyDescent="0.25">
      <c r="A74" s="4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ht="15.95" customHeight="1" x14ac:dyDescent="0.25">
      <c r="A75" s="4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ht="15.95" customHeight="1" x14ac:dyDescent="0.25">
      <c r="A76" s="4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ht="15.95" customHeight="1" x14ac:dyDescent="0.25">
      <c r="A77" s="4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ht="15.95" customHeight="1" x14ac:dyDescent="0.25">
      <c r="A78" s="4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ht="15.95" customHeight="1" x14ac:dyDescent="0.25">
      <c r="A79" s="4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ht="15.95" customHeight="1" x14ac:dyDescent="0.25">
      <c r="A80" s="4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ht="15.95" customHeight="1" x14ac:dyDescent="0.25">
      <c r="A81" s="4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4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ht="15.95" customHeight="1" x14ac:dyDescent="0.25">
      <c r="A83" s="4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ht="15.95" customHeight="1" x14ac:dyDescent="0.25">
      <c r="A84" s="4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ht="15.95" customHeight="1" x14ac:dyDescent="0.25">
      <c r="A85" s="4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ht="15.95" customHeight="1" x14ac:dyDescent="0.25">
      <c r="A86" s="4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ht="15.95" customHeight="1" x14ac:dyDescent="0.25">
      <c r="A87" s="4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ht="15.95" customHeight="1" x14ac:dyDescent="0.25">
      <c r="A88" s="4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ht="15.95" customHeight="1" x14ac:dyDescent="0.25">
      <c r="A89" s="4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ht="15.95" customHeight="1" x14ac:dyDescent="0.25">
      <c r="A90" s="4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ht="15.95" customHeight="1" x14ac:dyDescent="0.25">
      <c r="A91" s="4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ht="15.95" customHeight="1" x14ac:dyDescent="0.25">
      <c r="A92" s="4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ht="15.95" customHeight="1" x14ac:dyDescent="0.25">
      <c r="A93" s="4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ht="15.95" customHeight="1" x14ac:dyDescent="0.25">
      <c r="A94" s="4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ht="15.95" customHeight="1" x14ac:dyDescent="0.25">
      <c r="A95" s="4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ht="15.95" customHeight="1" x14ac:dyDescent="0.25">
      <c r="A96" s="4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ht="15.95" customHeight="1" x14ac:dyDescent="0.25">
      <c r="A97" s="4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ht="15.95" customHeight="1" x14ac:dyDescent="0.25">
      <c r="A98" s="4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ht="15.95" customHeight="1" x14ac:dyDescent="0.25">
      <c r="A99" s="4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ht="15.95" customHeight="1" x14ac:dyDescent="0.25">
      <c r="A100" s="4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5.95" customHeight="1" x14ac:dyDescent="0.25">
      <c r="A101" s="4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5.95" customHeight="1" x14ac:dyDescent="0.25">
      <c r="A102" s="4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5.95" customHeight="1" x14ac:dyDescent="0.25">
      <c r="A103" s="4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5.95" customHeight="1" x14ac:dyDescent="0.25">
      <c r="A104" s="4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5.95" customHeight="1" x14ac:dyDescent="0.25">
      <c r="A105" s="4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5.95" customHeight="1" x14ac:dyDescent="0.25">
      <c r="A106" s="4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5.95" customHeight="1" x14ac:dyDescent="0.25">
      <c r="A107" s="4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5.95" customHeight="1" x14ac:dyDescent="0.25">
      <c r="A108" s="4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5.95" customHeight="1" x14ac:dyDescent="0.25">
      <c r="A109" s="4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5.95" customHeight="1" x14ac:dyDescent="0.25">
      <c r="A110" s="4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5.95" customHeight="1" x14ac:dyDescent="0.25">
      <c r="A111" s="4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5.95" customHeight="1" x14ac:dyDescent="0.25">
      <c r="A112" s="4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5.95" customHeight="1" x14ac:dyDescent="0.25">
      <c r="A113" s="4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5.95" customHeight="1" x14ac:dyDescent="0.25">
      <c r="A114" s="4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5.95" customHeight="1" x14ac:dyDescent="0.25">
      <c r="A115" s="4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5.95" customHeight="1" x14ac:dyDescent="0.25">
      <c r="A116" s="4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5.95" customHeight="1" x14ac:dyDescent="0.25">
      <c r="A117" s="4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5.95" customHeight="1" x14ac:dyDescent="0.25">
      <c r="A118" s="4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5.95" customHeight="1" x14ac:dyDescent="0.25">
      <c r="A119" s="4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5.95" customHeight="1" x14ac:dyDescent="0.25">
      <c r="A120" s="4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5.95" customHeight="1" x14ac:dyDescent="0.25">
      <c r="A121" s="4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5.95" customHeight="1" x14ac:dyDescent="0.25">
      <c r="A122" s="4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5.95" customHeight="1" x14ac:dyDescent="0.25">
      <c r="A123" s="4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5.95" customHeight="1" x14ac:dyDescent="0.25">
      <c r="A124" s="4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5.95" customHeight="1" x14ac:dyDescent="0.25">
      <c r="A125" s="4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5.95" customHeight="1" x14ac:dyDescent="0.25">
      <c r="A126" s="4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5.95" customHeight="1" x14ac:dyDescent="0.25">
      <c r="A127" s="4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5.95" customHeight="1" x14ac:dyDescent="0.25">
      <c r="A128" s="4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5.95" customHeight="1" x14ac:dyDescent="0.25">
      <c r="A129" s="4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5.95" customHeight="1" x14ac:dyDescent="0.25">
      <c r="A130" s="4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5.95" customHeight="1" x14ac:dyDescent="0.25">
      <c r="A131" s="4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5.95" customHeight="1" x14ac:dyDescent="0.25">
      <c r="A132" s="4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5.95" customHeight="1" x14ac:dyDescent="0.25">
      <c r="A133" s="4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.95" customHeight="1" x14ac:dyDescent="0.25">
      <c r="A134" s="4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.95" customHeight="1" x14ac:dyDescent="0.25">
      <c r="A135" s="4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.95" customHeight="1" x14ac:dyDescent="0.25">
      <c r="A136" s="4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.95" customHeight="1" x14ac:dyDescent="0.25">
      <c r="A137" s="4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.95" customHeight="1" x14ac:dyDescent="0.25">
      <c r="A138" s="4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.95" customHeight="1" x14ac:dyDescent="0.25">
      <c r="A139" s="4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.95" customHeight="1" x14ac:dyDescent="0.25">
      <c r="A140" s="4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.95" customHeight="1" x14ac:dyDescent="0.25">
      <c r="A141" s="4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.95" customHeight="1" x14ac:dyDescent="0.25">
      <c r="A142" s="4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.95" customHeight="1" x14ac:dyDescent="0.25">
      <c r="A143" s="4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.95" customHeight="1" x14ac:dyDescent="0.25">
      <c r="A144" s="4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.95" customHeight="1" x14ac:dyDescent="0.25">
      <c r="A145" s="4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.95" customHeight="1" x14ac:dyDescent="0.25">
      <c r="A146" s="4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.95" customHeight="1" x14ac:dyDescent="0.25">
      <c r="A147" s="4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.95" customHeight="1" x14ac:dyDescent="0.25">
      <c r="A148" s="4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.95" customHeight="1" x14ac:dyDescent="0.25">
      <c r="A149" s="4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.95" customHeight="1" x14ac:dyDescent="0.25">
      <c r="A150" s="4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.95" customHeight="1" x14ac:dyDescent="0.25">
      <c r="A151" s="4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.95" customHeight="1" x14ac:dyDescent="0.25">
      <c r="A152" s="4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.95" customHeight="1" x14ac:dyDescent="0.25">
      <c r="A153" s="4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.95" customHeight="1" x14ac:dyDescent="0.25">
      <c r="A154" s="4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.95" customHeight="1" x14ac:dyDescent="0.25">
      <c r="A155" s="4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.95" customHeight="1" x14ac:dyDescent="0.25">
      <c r="A156" s="4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.95" customHeight="1" x14ac:dyDescent="0.25">
      <c r="A157" s="4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.95" customHeight="1" x14ac:dyDescent="0.25">
      <c r="A158" s="4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.95" customHeight="1" x14ac:dyDescent="0.25">
      <c r="A159" s="4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.95" customHeight="1" x14ac:dyDescent="0.25">
      <c r="A160" s="4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.95" customHeight="1" x14ac:dyDescent="0.25">
      <c r="A161" s="4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.95" customHeight="1" x14ac:dyDescent="0.25">
      <c r="A162" s="4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.95" customHeight="1" x14ac:dyDescent="0.25">
      <c r="A163" s="4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.95" customHeight="1" x14ac:dyDescent="0.25">
      <c r="A164" s="4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.95" customHeight="1" x14ac:dyDescent="0.25">
      <c r="A165" s="4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.95" customHeight="1" x14ac:dyDescent="0.25">
      <c r="A166" s="4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.95" customHeight="1" x14ac:dyDescent="0.25">
      <c r="A167" s="4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.95" customHeight="1" x14ac:dyDescent="0.25">
      <c r="A168" s="4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.95" customHeight="1" x14ac:dyDescent="0.25">
      <c r="A169" s="4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.95" customHeight="1" x14ac:dyDescent="0.25">
      <c r="A170" s="4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.95" customHeight="1" x14ac:dyDescent="0.25">
      <c r="A171" s="4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.95" customHeight="1" x14ac:dyDescent="0.25">
      <c r="A172" s="4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.95" customHeight="1" x14ac:dyDescent="0.25">
      <c r="A173" s="4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.95" customHeight="1" x14ac:dyDescent="0.25">
      <c r="A174" s="4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.95" customHeight="1" x14ac:dyDescent="0.25">
      <c r="A175" s="4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.95" customHeight="1" x14ac:dyDescent="0.25">
      <c r="A176" s="4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.95" customHeight="1" x14ac:dyDescent="0.25">
      <c r="A177" s="4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.95" customHeight="1" x14ac:dyDescent="0.25">
      <c r="A178" s="4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.95" customHeight="1" x14ac:dyDescent="0.25">
      <c r="A179" s="4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.95" customHeight="1" x14ac:dyDescent="0.25">
      <c r="A180" s="4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.95" customHeight="1" x14ac:dyDescent="0.25">
      <c r="A209" s="4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.95" customHeight="1" x14ac:dyDescent="0.25">
      <c r="A210" s="4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.95" customHeight="1" x14ac:dyDescent="0.25">
      <c r="A211" s="4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.95" customHeight="1" x14ac:dyDescent="0.25">
      <c r="A212" s="4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.95" customHeight="1" x14ac:dyDescent="0.25">
      <c r="A213" s="4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.95" customHeight="1" x14ac:dyDescent="0.25">
      <c r="A214" s="4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.95" customHeight="1" x14ac:dyDescent="0.25">
      <c r="A215" s="4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.95" customHeight="1" x14ac:dyDescent="0.25">
      <c r="A216" s="4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.95" customHeight="1" x14ac:dyDescent="0.25">
      <c r="A217" s="4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.95" customHeight="1" x14ac:dyDescent="0.25">
      <c r="A218" s="4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.95" customHeight="1" x14ac:dyDescent="0.25">
      <c r="A219" s="4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.95" customHeight="1" x14ac:dyDescent="0.25">
      <c r="A220" s="4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.95" customHeight="1" x14ac:dyDescent="0.25">
      <c r="A221" s="4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.95" customHeight="1" x14ac:dyDescent="0.25">
      <c r="A222" s="4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.95" customHeight="1" x14ac:dyDescent="0.25">
      <c r="A223" s="4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.95" customHeight="1" x14ac:dyDescent="0.25">
      <c r="A224" s="4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.95" customHeight="1" x14ac:dyDescent="0.25">
      <c r="A225" s="4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.95" customHeight="1" x14ac:dyDescent="0.25">
      <c r="A226" s="4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.95" customHeight="1" x14ac:dyDescent="0.25">
      <c r="A227" s="4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.95" customHeight="1" x14ac:dyDescent="0.25">
      <c r="A228" s="4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.95" customHeight="1" x14ac:dyDescent="0.25">
      <c r="A229" s="4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8"/>
    </row>
    <row r="1002" spans="1:15" x14ac:dyDescent="0.25">
      <c r="A1002" s="8"/>
    </row>
    <row r="1003" spans="1:15" x14ac:dyDescent="0.25">
      <c r="A1003" s="8"/>
    </row>
    <row r="1004" spans="1:15" x14ac:dyDescent="0.25">
      <c r="A1004" s="8"/>
    </row>
    <row r="1005" spans="1:15" x14ac:dyDescent="0.25">
      <c r="A1005" s="8"/>
    </row>
    <row r="1006" spans="1:15" x14ac:dyDescent="0.25">
      <c r="A1006" s="8"/>
    </row>
    <row r="1007" spans="1:15" x14ac:dyDescent="0.25">
      <c r="A1007" s="8"/>
    </row>
    <row r="1008" spans="1:15" x14ac:dyDescent="0.25">
      <c r="A1008" s="8"/>
    </row>
    <row r="1009" spans="1:1" x14ac:dyDescent="0.25">
      <c r="A1009" s="8"/>
    </row>
    <row r="1010" spans="1:1" x14ac:dyDescent="0.25">
      <c r="A1010" s="8"/>
    </row>
    <row r="1011" spans="1:1" x14ac:dyDescent="0.25">
      <c r="A1011" s="8"/>
    </row>
    <row r="1012" spans="1:1" x14ac:dyDescent="0.25">
      <c r="A1012" s="8"/>
    </row>
    <row r="1013" spans="1:1" x14ac:dyDescent="0.25">
      <c r="A1013" s="8"/>
    </row>
    <row r="1014" spans="1:1" x14ac:dyDescent="0.25">
      <c r="A1014" s="8"/>
    </row>
    <row r="1015" spans="1:1" x14ac:dyDescent="0.25">
      <c r="A1015" s="8"/>
    </row>
    <row r="1016" spans="1:1" x14ac:dyDescent="0.25">
      <c r="A1016" s="8"/>
    </row>
    <row r="1017" spans="1:1" x14ac:dyDescent="0.25">
      <c r="A1017" s="8"/>
    </row>
    <row r="1018" spans="1:1" x14ac:dyDescent="0.25">
      <c r="A1018" s="8"/>
    </row>
    <row r="1019" spans="1:1" x14ac:dyDescent="0.25">
      <c r="A1019" s="8"/>
    </row>
    <row r="1020" spans="1:1" x14ac:dyDescent="0.25">
      <c r="A1020" s="8"/>
    </row>
    <row r="1021" spans="1:1" x14ac:dyDescent="0.25">
      <c r="A1021" s="8"/>
    </row>
    <row r="1022" spans="1:1" x14ac:dyDescent="0.25">
      <c r="A1022" s="8"/>
    </row>
    <row r="1023" spans="1:1" x14ac:dyDescent="0.25">
      <c r="A1023" s="8"/>
    </row>
    <row r="1024" spans="1:1" x14ac:dyDescent="0.25">
      <c r="A1024" s="8"/>
    </row>
    <row r="1025" spans="1:1" x14ac:dyDescent="0.25">
      <c r="A1025" s="8"/>
    </row>
    <row r="1026" spans="1:1" x14ac:dyDescent="0.25">
      <c r="A1026" s="8"/>
    </row>
    <row r="1027" spans="1:1" x14ac:dyDescent="0.25">
      <c r="A1027" s="8"/>
    </row>
    <row r="1028" spans="1:1" x14ac:dyDescent="0.25">
      <c r="A1028" s="8"/>
    </row>
    <row r="1029" spans="1:1" x14ac:dyDescent="0.25">
      <c r="A1029" s="8"/>
    </row>
    <row r="1030" spans="1:1" x14ac:dyDescent="0.25">
      <c r="A1030" s="8"/>
    </row>
    <row r="1031" spans="1:1" x14ac:dyDescent="0.25">
      <c r="A1031" s="8"/>
    </row>
    <row r="1032" spans="1:1" x14ac:dyDescent="0.25">
      <c r="A1032" s="8"/>
    </row>
    <row r="1033" spans="1:1" x14ac:dyDescent="0.25">
      <c r="A1033" s="8"/>
    </row>
    <row r="1034" spans="1:1" x14ac:dyDescent="0.25">
      <c r="A1034" s="8"/>
    </row>
    <row r="1035" spans="1:1" x14ac:dyDescent="0.25">
      <c r="A1035" s="8"/>
    </row>
    <row r="1036" spans="1:1" x14ac:dyDescent="0.25">
      <c r="A1036" s="8"/>
    </row>
    <row r="1037" spans="1:1" x14ac:dyDescent="0.25">
      <c r="A1037" s="8"/>
    </row>
    <row r="1038" spans="1:1" x14ac:dyDescent="0.25">
      <c r="A1038" s="8"/>
    </row>
    <row r="1039" spans="1:1" x14ac:dyDescent="0.25">
      <c r="A1039" s="8"/>
    </row>
    <row r="1040" spans="1:1" x14ac:dyDescent="0.25">
      <c r="A1040" s="8"/>
    </row>
    <row r="1041" spans="1:1" x14ac:dyDescent="0.25">
      <c r="A1041" s="8"/>
    </row>
    <row r="1042" spans="1:1" x14ac:dyDescent="0.25">
      <c r="A1042" s="8"/>
    </row>
    <row r="1043" spans="1:1" x14ac:dyDescent="0.25">
      <c r="A1043" s="8"/>
    </row>
    <row r="1044" spans="1:1" x14ac:dyDescent="0.25">
      <c r="A1044" s="8"/>
    </row>
    <row r="1045" spans="1:1" x14ac:dyDescent="0.25">
      <c r="A1045" s="8"/>
    </row>
    <row r="1046" spans="1:1" x14ac:dyDescent="0.25">
      <c r="A1046" s="8"/>
    </row>
    <row r="1047" spans="1:1" x14ac:dyDescent="0.25">
      <c r="A1047" s="8"/>
    </row>
    <row r="1048" spans="1:1" x14ac:dyDescent="0.25">
      <c r="A1048" s="8"/>
    </row>
    <row r="1049" spans="1:1" x14ac:dyDescent="0.25">
      <c r="A1049" s="8"/>
    </row>
    <row r="1050" spans="1:1" x14ac:dyDescent="0.25">
      <c r="A1050" s="8"/>
    </row>
    <row r="1051" spans="1:1" x14ac:dyDescent="0.25">
      <c r="A1051" s="8"/>
    </row>
    <row r="1052" spans="1:1" x14ac:dyDescent="0.25">
      <c r="A1052" s="8"/>
    </row>
    <row r="1053" spans="1:1" x14ac:dyDescent="0.25">
      <c r="A1053" s="8"/>
    </row>
    <row r="1054" spans="1:1" x14ac:dyDescent="0.25">
      <c r="A1054" s="8"/>
    </row>
    <row r="1055" spans="1:1" x14ac:dyDescent="0.25">
      <c r="A1055" s="8"/>
    </row>
    <row r="1056" spans="1:1" x14ac:dyDescent="0.25">
      <c r="A1056" s="8"/>
    </row>
    <row r="1057" spans="1:1" x14ac:dyDescent="0.25">
      <c r="A1057" s="8"/>
    </row>
    <row r="1058" spans="1:1" x14ac:dyDescent="0.25">
      <c r="A1058" s="8"/>
    </row>
    <row r="1059" spans="1:1" x14ac:dyDescent="0.25">
      <c r="A1059" s="8"/>
    </row>
    <row r="1060" spans="1:1" x14ac:dyDescent="0.25">
      <c r="A1060" s="8"/>
    </row>
    <row r="1061" spans="1:1" x14ac:dyDescent="0.25">
      <c r="A1061" s="8"/>
    </row>
    <row r="1062" spans="1:1" x14ac:dyDescent="0.25">
      <c r="A1062" s="8"/>
    </row>
    <row r="1063" spans="1:1" x14ac:dyDescent="0.25">
      <c r="A1063" s="8"/>
    </row>
    <row r="1064" spans="1:1" x14ac:dyDescent="0.25">
      <c r="A1064" s="8"/>
    </row>
    <row r="1065" spans="1:1" x14ac:dyDescent="0.25">
      <c r="A1065" s="8"/>
    </row>
    <row r="1066" spans="1:1" x14ac:dyDescent="0.25">
      <c r="A1066" s="8"/>
    </row>
    <row r="1067" spans="1:1" x14ac:dyDescent="0.25">
      <c r="A1067" s="8"/>
    </row>
    <row r="1068" spans="1:1" x14ac:dyDescent="0.25">
      <c r="A1068" s="8"/>
    </row>
    <row r="1069" spans="1:1" x14ac:dyDescent="0.25">
      <c r="A1069" s="8"/>
    </row>
    <row r="1070" spans="1:1" x14ac:dyDescent="0.25">
      <c r="A1070" s="8"/>
    </row>
    <row r="1071" spans="1:1" x14ac:dyDescent="0.25">
      <c r="A1071" s="8"/>
    </row>
    <row r="1072" spans="1:1" x14ac:dyDescent="0.25">
      <c r="A1072" s="8"/>
    </row>
    <row r="1073" spans="1:1" x14ac:dyDescent="0.25">
      <c r="A1073" s="8"/>
    </row>
    <row r="1074" spans="1:1" x14ac:dyDescent="0.25">
      <c r="A1074" s="8"/>
    </row>
    <row r="1075" spans="1:1" x14ac:dyDescent="0.25">
      <c r="A1075" s="8"/>
    </row>
    <row r="1076" spans="1:1" x14ac:dyDescent="0.25">
      <c r="A1076" s="8"/>
    </row>
    <row r="1077" spans="1:1" x14ac:dyDescent="0.25">
      <c r="A1077" s="8"/>
    </row>
    <row r="1078" spans="1:1" x14ac:dyDescent="0.25">
      <c r="A1078" s="8"/>
    </row>
    <row r="1079" spans="1:1" x14ac:dyDescent="0.25">
      <c r="A1079" s="8"/>
    </row>
    <row r="1080" spans="1:1" x14ac:dyDescent="0.25">
      <c r="A1080" s="8"/>
    </row>
    <row r="1081" spans="1:1" x14ac:dyDescent="0.25">
      <c r="A1081" s="8"/>
    </row>
    <row r="1082" spans="1:1" x14ac:dyDescent="0.25">
      <c r="A1082" s="8"/>
    </row>
    <row r="1083" spans="1:1" x14ac:dyDescent="0.25">
      <c r="A1083" s="8"/>
    </row>
    <row r="1084" spans="1:1" x14ac:dyDescent="0.25">
      <c r="A1084" s="8"/>
    </row>
    <row r="1085" spans="1:1" x14ac:dyDescent="0.25">
      <c r="A1085" s="8"/>
    </row>
    <row r="1086" spans="1:1" x14ac:dyDescent="0.25">
      <c r="A1086" s="8"/>
    </row>
    <row r="1087" spans="1:1" x14ac:dyDescent="0.25">
      <c r="A1087" s="8"/>
    </row>
    <row r="1088" spans="1:1" x14ac:dyDescent="0.25">
      <c r="A1088" s="8"/>
    </row>
    <row r="1089" spans="1:1" x14ac:dyDescent="0.25">
      <c r="A1089" s="8"/>
    </row>
    <row r="1090" spans="1:1" x14ac:dyDescent="0.25">
      <c r="A1090" s="8"/>
    </row>
    <row r="1091" spans="1:1" x14ac:dyDescent="0.25">
      <c r="A1091" s="8"/>
    </row>
    <row r="1092" spans="1:1" x14ac:dyDescent="0.25">
      <c r="A1092" s="8"/>
    </row>
    <row r="1093" spans="1:1" x14ac:dyDescent="0.25">
      <c r="A1093" s="8"/>
    </row>
    <row r="1094" spans="1:1" x14ac:dyDescent="0.25">
      <c r="A1094" s="8"/>
    </row>
    <row r="1095" spans="1:1" x14ac:dyDescent="0.25">
      <c r="A1095" s="8"/>
    </row>
    <row r="1096" spans="1:1" x14ac:dyDescent="0.25">
      <c r="A1096" s="8"/>
    </row>
    <row r="1097" spans="1:1" x14ac:dyDescent="0.25">
      <c r="A1097" s="8"/>
    </row>
    <row r="1098" spans="1:1" x14ac:dyDescent="0.25">
      <c r="A1098" s="8"/>
    </row>
    <row r="1099" spans="1:1" x14ac:dyDescent="0.25">
      <c r="A1099" s="8"/>
    </row>
    <row r="1100" spans="1:1" x14ac:dyDescent="0.25">
      <c r="A1100" s="8"/>
    </row>
    <row r="1101" spans="1:1" x14ac:dyDescent="0.25">
      <c r="A1101" s="8"/>
    </row>
    <row r="1102" spans="1:1" x14ac:dyDescent="0.25">
      <c r="A1102" s="8"/>
    </row>
    <row r="1103" spans="1:1" x14ac:dyDescent="0.25">
      <c r="A1103" s="8"/>
    </row>
    <row r="1104" spans="1:1" x14ac:dyDescent="0.25">
      <c r="A1104" s="8"/>
    </row>
    <row r="1105" spans="1:1" x14ac:dyDescent="0.25">
      <c r="A1105" s="8"/>
    </row>
    <row r="1106" spans="1:1" x14ac:dyDescent="0.25">
      <c r="A1106" s="8"/>
    </row>
    <row r="1107" spans="1:1" x14ac:dyDescent="0.25">
      <c r="A1107" s="8"/>
    </row>
    <row r="1108" spans="1:1" x14ac:dyDescent="0.25">
      <c r="A1108" s="8"/>
    </row>
    <row r="1109" spans="1:1" x14ac:dyDescent="0.25">
      <c r="A1109" s="8"/>
    </row>
    <row r="1110" spans="1:1" x14ac:dyDescent="0.25">
      <c r="A1110" s="8"/>
    </row>
    <row r="1111" spans="1:1" x14ac:dyDescent="0.25">
      <c r="A1111" s="8"/>
    </row>
    <row r="1112" spans="1:1" x14ac:dyDescent="0.25">
      <c r="A1112" s="8"/>
    </row>
    <row r="1113" spans="1:1" x14ac:dyDescent="0.25">
      <c r="A1113" s="8"/>
    </row>
    <row r="1114" spans="1:1" x14ac:dyDescent="0.25">
      <c r="A1114" s="8"/>
    </row>
    <row r="1115" spans="1:1" x14ac:dyDescent="0.25">
      <c r="A1115" s="8"/>
    </row>
    <row r="1116" spans="1:1" x14ac:dyDescent="0.25">
      <c r="A1116" s="8"/>
    </row>
    <row r="1117" spans="1:1" x14ac:dyDescent="0.25">
      <c r="A1117" s="8"/>
    </row>
    <row r="1118" spans="1:1" x14ac:dyDescent="0.25">
      <c r="A1118" s="8"/>
    </row>
    <row r="1119" spans="1:1" x14ac:dyDescent="0.25">
      <c r="A1119" s="8"/>
    </row>
    <row r="1120" spans="1:1" x14ac:dyDescent="0.25">
      <c r="A1120" s="8"/>
    </row>
    <row r="1121" spans="1:1" x14ac:dyDescent="0.25">
      <c r="A1121" s="8"/>
    </row>
    <row r="1122" spans="1:1" x14ac:dyDescent="0.25">
      <c r="A1122" s="8"/>
    </row>
    <row r="1123" spans="1:1" x14ac:dyDescent="0.25">
      <c r="A1123" s="8"/>
    </row>
    <row r="1124" spans="1:1" x14ac:dyDescent="0.25">
      <c r="A1124" s="8"/>
    </row>
    <row r="1125" spans="1:1" x14ac:dyDescent="0.25">
      <c r="A1125" s="8"/>
    </row>
    <row r="1126" spans="1:1" x14ac:dyDescent="0.25">
      <c r="A1126" s="8"/>
    </row>
    <row r="1127" spans="1:1" x14ac:dyDescent="0.25">
      <c r="A1127" s="8"/>
    </row>
    <row r="1128" spans="1:1" x14ac:dyDescent="0.25">
      <c r="A1128" s="8"/>
    </row>
    <row r="1129" spans="1:1" x14ac:dyDescent="0.25">
      <c r="A1129" s="8"/>
    </row>
    <row r="1130" spans="1:1" x14ac:dyDescent="0.25">
      <c r="A1130" s="8"/>
    </row>
    <row r="1131" spans="1:1" x14ac:dyDescent="0.25">
      <c r="A1131" s="8"/>
    </row>
    <row r="1132" spans="1:1" x14ac:dyDescent="0.25">
      <c r="A1132" s="8"/>
    </row>
    <row r="1133" spans="1:1" x14ac:dyDescent="0.25">
      <c r="A1133" s="8"/>
    </row>
    <row r="1134" spans="1:1" x14ac:dyDescent="0.25">
      <c r="A1134" s="8"/>
    </row>
    <row r="1135" spans="1:1" x14ac:dyDescent="0.25">
      <c r="A1135" s="8"/>
    </row>
    <row r="1136" spans="1:1" x14ac:dyDescent="0.25">
      <c r="A1136" s="8"/>
    </row>
    <row r="1137" spans="1:1" x14ac:dyDescent="0.25">
      <c r="A1137" s="8"/>
    </row>
    <row r="1138" spans="1:1" x14ac:dyDescent="0.25">
      <c r="A1138" s="8"/>
    </row>
    <row r="1139" spans="1:1" x14ac:dyDescent="0.25">
      <c r="A1139" s="8"/>
    </row>
    <row r="1140" spans="1:1" x14ac:dyDescent="0.25">
      <c r="A1140" s="8"/>
    </row>
    <row r="1141" spans="1:1" x14ac:dyDescent="0.25">
      <c r="A1141" s="8"/>
    </row>
    <row r="1142" spans="1:1" x14ac:dyDescent="0.25">
      <c r="A1142" s="8"/>
    </row>
    <row r="1143" spans="1:1" x14ac:dyDescent="0.25">
      <c r="A1143" s="8"/>
    </row>
    <row r="1144" spans="1:1" x14ac:dyDescent="0.25">
      <c r="A1144" s="8"/>
    </row>
    <row r="1145" spans="1:1" x14ac:dyDescent="0.25">
      <c r="A1145" s="8"/>
    </row>
    <row r="1146" spans="1:1" x14ac:dyDescent="0.25">
      <c r="A1146" s="8"/>
    </row>
    <row r="1147" spans="1:1" x14ac:dyDescent="0.25">
      <c r="A1147" s="8"/>
    </row>
    <row r="1148" spans="1:1" x14ac:dyDescent="0.25">
      <c r="A1148" s="8"/>
    </row>
    <row r="1149" spans="1:1" x14ac:dyDescent="0.25">
      <c r="A1149" s="8"/>
    </row>
    <row r="1150" spans="1:1" x14ac:dyDescent="0.25">
      <c r="A1150" s="8"/>
    </row>
    <row r="1151" spans="1:1" x14ac:dyDescent="0.25">
      <c r="A1151" s="8"/>
    </row>
    <row r="1152" spans="1:1" x14ac:dyDescent="0.25">
      <c r="A1152" s="8"/>
    </row>
    <row r="1153" spans="1:1" x14ac:dyDescent="0.25">
      <c r="A1153" s="8"/>
    </row>
    <row r="1154" spans="1:1" x14ac:dyDescent="0.25">
      <c r="A1154" s="8"/>
    </row>
    <row r="1155" spans="1:1" x14ac:dyDescent="0.25">
      <c r="A1155" s="8"/>
    </row>
    <row r="1156" spans="1:1" x14ac:dyDescent="0.25">
      <c r="A1156" s="8"/>
    </row>
    <row r="1157" spans="1:1" x14ac:dyDescent="0.25">
      <c r="A1157" s="8"/>
    </row>
    <row r="1158" spans="1:1" x14ac:dyDescent="0.25">
      <c r="A1158" s="8"/>
    </row>
    <row r="1159" spans="1:1" x14ac:dyDescent="0.25">
      <c r="A1159" s="8"/>
    </row>
    <row r="1160" spans="1:1" x14ac:dyDescent="0.25">
      <c r="A1160" s="8"/>
    </row>
    <row r="1161" spans="1:1" x14ac:dyDescent="0.25">
      <c r="A1161" s="8"/>
    </row>
    <row r="1162" spans="1:1" x14ac:dyDescent="0.25">
      <c r="A1162" s="8"/>
    </row>
    <row r="1163" spans="1:1" x14ac:dyDescent="0.25">
      <c r="A1163" s="8"/>
    </row>
    <row r="1164" spans="1:1" x14ac:dyDescent="0.25">
      <c r="A1164" s="8"/>
    </row>
    <row r="1165" spans="1:1" x14ac:dyDescent="0.25">
      <c r="A1165" s="8"/>
    </row>
    <row r="1166" spans="1:1" x14ac:dyDescent="0.25">
      <c r="A1166" s="8"/>
    </row>
    <row r="1167" spans="1:1" x14ac:dyDescent="0.25">
      <c r="A1167" s="8"/>
    </row>
    <row r="1168" spans="1:1" x14ac:dyDescent="0.25">
      <c r="A1168" s="8"/>
    </row>
    <row r="1169" spans="1:1" x14ac:dyDescent="0.25">
      <c r="A1169" s="8"/>
    </row>
    <row r="1170" spans="1:1" x14ac:dyDescent="0.25">
      <c r="A1170" s="8"/>
    </row>
    <row r="1171" spans="1:1" x14ac:dyDescent="0.25">
      <c r="A1171" s="8"/>
    </row>
    <row r="1172" spans="1:1" x14ac:dyDescent="0.25">
      <c r="A1172" s="8"/>
    </row>
    <row r="1173" spans="1:1" x14ac:dyDescent="0.25">
      <c r="A1173" s="8"/>
    </row>
    <row r="1174" spans="1:1" x14ac:dyDescent="0.25">
      <c r="A1174" s="8"/>
    </row>
    <row r="1175" spans="1:1" x14ac:dyDescent="0.25">
      <c r="A1175" s="8"/>
    </row>
    <row r="1176" spans="1:1" x14ac:dyDescent="0.25">
      <c r="A1176" s="8"/>
    </row>
    <row r="1177" spans="1:1" x14ac:dyDescent="0.25">
      <c r="A1177" s="8"/>
    </row>
    <row r="1178" spans="1:1" x14ac:dyDescent="0.25">
      <c r="A1178" s="8"/>
    </row>
    <row r="1179" spans="1:1" x14ac:dyDescent="0.25">
      <c r="A1179" s="8"/>
    </row>
    <row r="1180" spans="1:1" x14ac:dyDescent="0.25">
      <c r="A1180" s="8"/>
    </row>
    <row r="1181" spans="1:1" x14ac:dyDescent="0.25">
      <c r="A1181" s="8"/>
    </row>
    <row r="1182" spans="1:1" x14ac:dyDescent="0.25">
      <c r="A1182" s="8"/>
    </row>
    <row r="1183" spans="1:1" x14ac:dyDescent="0.25">
      <c r="A1183" s="8"/>
    </row>
    <row r="1184" spans="1:1" x14ac:dyDescent="0.25">
      <c r="A1184" s="8"/>
    </row>
    <row r="1185" spans="1:1" x14ac:dyDescent="0.25">
      <c r="A1185" s="8"/>
    </row>
    <row r="1186" spans="1:1" x14ac:dyDescent="0.25">
      <c r="A1186" s="8"/>
    </row>
    <row r="1187" spans="1:1" x14ac:dyDescent="0.25">
      <c r="A1187" s="8"/>
    </row>
    <row r="1188" spans="1:1" x14ac:dyDescent="0.25">
      <c r="A1188" s="8"/>
    </row>
    <row r="1189" spans="1:1" x14ac:dyDescent="0.25">
      <c r="A1189" s="8"/>
    </row>
    <row r="1190" spans="1:1" x14ac:dyDescent="0.25">
      <c r="A1190" s="8"/>
    </row>
    <row r="1191" spans="1:1" x14ac:dyDescent="0.25">
      <c r="A1191" s="8"/>
    </row>
    <row r="1192" spans="1:1" x14ac:dyDescent="0.25">
      <c r="A1192" s="8"/>
    </row>
    <row r="1193" spans="1:1" x14ac:dyDescent="0.25">
      <c r="A1193" s="8"/>
    </row>
    <row r="1194" spans="1:1" x14ac:dyDescent="0.25">
      <c r="A1194" s="8"/>
    </row>
    <row r="1195" spans="1:1" x14ac:dyDescent="0.25">
      <c r="A1195" s="8"/>
    </row>
    <row r="1196" spans="1:1" x14ac:dyDescent="0.25">
      <c r="A1196" s="8"/>
    </row>
    <row r="1197" spans="1:1" x14ac:dyDescent="0.25">
      <c r="A1197" s="8"/>
    </row>
    <row r="1198" spans="1:1" x14ac:dyDescent="0.25">
      <c r="A1198" s="8"/>
    </row>
    <row r="1199" spans="1:1" x14ac:dyDescent="0.25">
      <c r="A1199" s="8"/>
    </row>
    <row r="1200" spans="1:1" x14ac:dyDescent="0.25">
      <c r="A1200" s="8"/>
    </row>
    <row r="1201" spans="1:1" x14ac:dyDescent="0.25">
      <c r="A1201" s="8"/>
    </row>
    <row r="1202" spans="1:1" x14ac:dyDescent="0.25">
      <c r="A1202" s="8"/>
    </row>
    <row r="1203" spans="1:1" x14ac:dyDescent="0.25">
      <c r="A1203" s="8"/>
    </row>
    <row r="1204" spans="1:1" x14ac:dyDescent="0.25">
      <c r="A1204" s="8"/>
    </row>
    <row r="1205" spans="1:1" x14ac:dyDescent="0.25">
      <c r="A1205" s="8"/>
    </row>
    <row r="1206" spans="1:1" x14ac:dyDescent="0.25">
      <c r="A1206" s="8"/>
    </row>
    <row r="1207" spans="1:1" x14ac:dyDescent="0.25">
      <c r="A1207" s="8"/>
    </row>
    <row r="1208" spans="1:1" x14ac:dyDescent="0.25">
      <c r="A1208" s="8"/>
    </row>
    <row r="1209" spans="1:1" x14ac:dyDescent="0.25">
      <c r="A1209" s="8"/>
    </row>
    <row r="1210" spans="1:1" x14ac:dyDescent="0.25">
      <c r="A1210" s="8"/>
    </row>
    <row r="1211" spans="1:1" x14ac:dyDescent="0.25">
      <c r="A1211" s="8"/>
    </row>
    <row r="1212" spans="1:1" x14ac:dyDescent="0.25">
      <c r="A1212" s="8"/>
    </row>
    <row r="1213" spans="1:1" x14ac:dyDescent="0.25">
      <c r="A1213" s="8"/>
    </row>
    <row r="1214" spans="1:1" x14ac:dyDescent="0.25">
      <c r="A1214" s="8"/>
    </row>
    <row r="1215" spans="1:1" x14ac:dyDescent="0.25">
      <c r="A1215" s="8"/>
    </row>
    <row r="1216" spans="1:1" x14ac:dyDescent="0.25">
      <c r="A1216" s="8"/>
    </row>
    <row r="1217" spans="1:1" x14ac:dyDescent="0.25">
      <c r="A1217" s="8"/>
    </row>
    <row r="1218" spans="1:1" x14ac:dyDescent="0.25">
      <c r="A1218" s="8"/>
    </row>
    <row r="1219" spans="1:1" x14ac:dyDescent="0.25">
      <c r="A1219" s="8"/>
    </row>
    <row r="1220" spans="1:1" x14ac:dyDescent="0.25">
      <c r="A1220" s="8"/>
    </row>
    <row r="1221" spans="1:1" x14ac:dyDescent="0.25">
      <c r="A1221" s="8"/>
    </row>
    <row r="1222" spans="1:1" x14ac:dyDescent="0.25">
      <c r="A1222" s="8"/>
    </row>
    <row r="1223" spans="1:1" x14ac:dyDescent="0.25">
      <c r="A1223" s="8"/>
    </row>
    <row r="1224" spans="1:1" x14ac:dyDescent="0.25">
      <c r="A1224" s="8"/>
    </row>
    <row r="1225" spans="1:1" x14ac:dyDescent="0.25">
      <c r="A1225" s="8"/>
    </row>
    <row r="1226" spans="1:1" x14ac:dyDescent="0.25">
      <c r="A1226" s="8"/>
    </row>
    <row r="1227" spans="1:1" x14ac:dyDescent="0.25">
      <c r="A1227" s="8"/>
    </row>
    <row r="1228" spans="1:1" x14ac:dyDescent="0.25">
      <c r="A1228" s="8"/>
    </row>
    <row r="1229" spans="1:1" x14ac:dyDescent="0.25">
      <c r="A1229" s="8"/>
    </row>
    <row r="1230" spans="1:1" x14ac:dyDescent="0.25">
      <c r="A1230" s="8"/>
    </row>
    <row r="1231" spans="1:1" x14ac:dyDescent="0.25">
      <c r="A1231" s="8"/>
    </row>
    <row r="1232" spans="1:1" x14ac:dyDescent="0.25">
      <c r="A1232" s="8"/>
    </row>
    <row r="1233" spans="1:1" x14ac:dyDescent="0.25">
      <c r="A1233" s="8"/>
    </row>
    <row r="1234" spans="1:1" x14ac:dyDescent="0.25">
      <c r="A1234" s="8"/>
    </row>
    <row r="1235" spans="1:1" x14ac:dyDescent="0.25">
      <c r="A1235" s="8"/>
    </row>
    <row r="1236" spans="1:1" x14ac:dyDescent="0.25">
      <c r="A1236" s="8"/>
    </row>
    <row r="1237" spans="1:1" x14ac:dyDescent="0.25">
      <c r="A1237" s="8"/>
    </row>
    <row r="1238" spans="1:1" x14ac:dyDescent="0.25">
      <c r="A1238" s="8"/>
    </row>
    <row r="1239" spans="1:1" x14ac:dyDescent="0.25">
      <c r="A1239" s="8"/>
    </row>
    <row r="1240" spans="1:1" x14ac:dyDescent="0.25">
      <c r="A1240" s="8"/>
    </row>
    <row r="1241" spans="1:1" x14ac:dyDescent="0.25">
      <c r="A1241" s="8"/>
    </row>
    <row r="1242" spans="1:1" x14ac:dyDescent="0.25">
      <c r="A1242" s="8"/>
    </row>
    <row r="1243" spans="1:1" x14ac:dyDescent="0.25">
      <c r="A1243" s="8"/>
    </row>
    <row r="1244" spans="1:1" x14ac:dyDescent="0.25">
      <c r="A1244" s="8"/>
    </row>
    <row r="1245" spans="1:1" x14ac:dyDescent="0.25">
      <c r="A1245" s="8"/>
    </row>
    <row r="1246" spans="1:1" x14ac:dyDescent="0.25">
      <c r="A1246" s="8"/>
    </row>
    <row r="1247" spans="1:1" x14ac:dyDescent="0.25">
      <c r="A1247" s="8"/>
    </row>
    <row r="1248" spans="1:1" x14ac:dyDescent="0.25">
      <c r="A1248" s="8"/>
    </row>
    <row r="1249" spans="1:1" x14ac:dyDescent="0.25">
      <c r="A1249" s="8"/>
    </row>
    <row r="1250" spans="1:1" x14ac:dyDescent="0.25">
      <c r="A1250" s="8"/>
    </row>
    <row r="1251" spans="1:1" x14ac:dyDescent="0.25">
      <c r="A1251" s="8"/>
    </row>
    <row r="1252" spans="1:1" x14ac:dyDescent="0.25">
      <c r="A1252" s="8"/>
    </row>
    <row r="1253" spans="1:1" x14ac:dyDescent="0.25">
      <c r="A1253" s="8"/>
    </row>
    <row r="1254" spans="1:1" x14ac:dyDescent="0.25">
      <c r="A1254" s="8"/>
    </row>
    <row r="1255" spans="1:1" x14ac:dyDescent="0.25">
      <c r="A1255" s="8"/>
    </row>
    <row r="1256" spans="1:1" x14ac:dyDescent="0.25">
      <c r="A1256" s="8"/>
    </row>
    <row r="1257" spans="1:1" x14ac:dyDescent="0.25">
      <c r="A1257" s="8"/>
    </row>
    <row r="1258" spans="1:1" x14ac:dyDescent="0.25">
      <c r="A1258" s="8"/>
    </row>
    <row r="1259" spans="1:1" x14ac:dyDescent="0.25">
      <c r="A1259" s="8"/>
    </row>
    <row r="1260" spans="1:1" x14ac:dyDescent="0.25">
      <c r="A1260" s="8"/>
    </row>
    <row r="1261" spans="1:1" x14ac:dyDescent="0.25">
      <c r="A1261" s="8"/>
    </row>
    <row r="1262" spans="1:1" x14ac:dyDescent="0.25">
      <c r="A1262" s="8"/>
    </row>
    <row r="1263" spans="1:1" x14ac:dyDescent="0.25">
      <c r="A1263" s="8"/>
    </row>
    <row r="1264" spans="1:1" x14ac:dyDescent="0.25">
      <c r="A1264" s="8"/>
    </row>
    <row r="1265" spans="1:1" x14ac:dyDescent="0.25">
      <c r="A1265" s="8"/>
    </row>
    <row r="1266" spans="1:1" x14ac:dyDescent="0.25">
      <c r="A1266" s="8"/>
    </row>
    <row r="1267" spans="1:1" x14ac:dyDescent="0.25">
      <c r="A1267" s="8"/>
    </row>
    <row r="1268" spans="1:1" x14ac:dyDescent="0.25">
      <c r="A1268" s="8"/>
    </row>
    <row r="1269" spans="1:1" x14ac:dyDescent="0.25">
      <c r="A1269" s="8"/>
    </row>
    <row r="1270" spans="1:1" x14ac:dyDescent="0.25">
      <c r="A1270" s="8"/>
    </row>
    <row r="1271" spans="1:1" x14ac:dyDescent="0.25">
      <c r="A1271" s="8"/>
    </row>
    <row r="1272" spans="1:1" x14ac:dyDescent="0.25">
      <c r="A1272" s="8"/>
    </row>
    <row r="1273" spans="1:1" x14ac:dyDescent="0.25">
      <c r="A1273" s="8"/>
    </row>
    <row r="1274" spans="1:1" x14ac:dyDescent="0.25">
      <c r="A1274" s="8"/>
    </row>
    <row r="1275" spans="1:1" x14ac:dyDescent="0.25">
      <c r="A1275" s="8"/>
    </row>
    <row r="1276" spans="1:1" x14ac:dyDescent="0.25">
      <c r="A1276" s="8"/>
    </row>
    <row r="1277" spans="1:1" x14ac:dyDescent="0.25">
      <c r="A1277" s="8"/>
    </row>
    <row r="1278" spans="1:1" x14ac:dyDescent="0.25">
      <c r="A1278" s="8"/>
    </row>
    <row r="1279" spans="1:1" x14ac:dyDescent="0.25">
      <c r="A1279" s="8"/>
    </row>
    <row r="1280" spans="1:1" x14ac:dyDescent="0.25">
      <c r="A1280" s="8"/>
    </row>
    <row r="1281" spans="1:1" x14ac:dyDescent="0.25">
      <c r="A1281" s="8"/>
    </row>
    <row r="1282" spans="1:1" x14ac:dyDescent="0.25">
      <c r="A1282" s="8"/>
    </row>
    <row r="1283" spans="1:1" x14ac:dyDescent="0.25">
      <c r="A1283" s="8"/>
    </row>
    <row r="1284" spans="1:1" x14ac:dyDescent="0.25">
      <c r="A1284" s="8"/>
    </row>
    <row r="1285" spans="1:1" x14ac:dyDescent="0.25">
      <c r="A1285" s="8"/>
    </row>
    <row r="1286" spans="1:1" x14ac:dyDescent="0.25">
      <c r="A1286" s="8"/>
    </row>
    <row r="1287" spans="1:1" x14ac:dyDescent="0.25">
      <c r="A1287" s="8"/>
    </row>
    <row r="1288" spans="1:1" x14ac:dyDescent="0.25">
      <c r="A1288" s="8"/>
    </row>
    <row r="1289" spans="1:1" x14ac:dyDescent="0.25">
      <c r="A1289" s="8"/>
    </row>
    <row r="1290" spans="1:1" x14ac:dyDescent="0.25">
      <c r="A1290" s="8"/>
    </row>
    <row r="1291" spans="1:1" x14ac:dyDescent="0.25">
      <c r="A1291" s="8"/>
    </row>
    <row r="1292" spans="1:1" x14ac:dyDescent="0.25">
      <c r="A1292" s="8"/>
    </row>
    <row r="1293" spans="1:1" x14ac:dyDescent="0.25">
      <c r="A1293" s="8"/>
    </row>
    <row r="1294" spans="1:1" x14ac:dyDescent="0.25">
      <c r="A1294" s="8"/>
    </row>
    <row r="1295" spans="1:1" x14ac:dyDescent="0.25">
      <c r="A1295" s="8"/>
    </row>
    <row r="1296" spans="1:1" x14ac:dyDescent="0.25">
      <c r="A1296" s="8"/>
    </row>
    <row r="1297" spans="1:1" x14ac:dyDescent="0.25">
      <c r="A1297" s="8"/>
    </row>
    <row r="1298" spans="1:1" x14ac:dyDescent="0.25">
      <c r="A1298" s="8"/>
    </row>
    <row r="1299" spans="1:1" x14ac:dyDescent="0.25">
      <c r="A1299" s="8"/>
    </row>
    <row r="1300" spans="1:1" x14ac:dyDescent="0.25">
      <c r="A1300" s="8"/>
    </row>
    <row r="1301" spans="1:1" x14ac:dyDescent="0.25">
      <c r="A1301" s="8"/>
    </row>
    <row r="1302" spans="1:1" x14ac:dyDescent="0.25">
      <c r="A1302" s="8"/>
    </row>
    <row r="1303" spans="1:1" x14ac:dyDescent="0.25">
      <c r="A1303" s="8"/>
    </row>
    <row r="1304" spans="1:1" x14ac:dyDescent="0.25">
      <c r="A1304" s="8"/>
    </row>
    <row r="1305" spans="1:1" x14ac:dyDescent="0.25">
      <c r="A1305" s="8"/>
    </row>
    <row r="1306" spans="1:1" x14ac:dyDescent="0.25">
      <c r="A1306" s="8"/>
    </row>
    <row r="1307" spans="1:1" x14ac:dyDescent="0.25">
      <c r="A1307" s="8"/>
    </row>
    <row r="1308" spans="1:1" x14ac:dyDescent="0.25">
      <c r="A1308" s="8"/>
    </row>
    <row r="1309" spans="1:1" x14ac:dyDescent="0.25">
      <c r="A1309" s="8"/>
    </row>
    <row r="1310" spans="1:1" x14ac:dyDescent="0.25">
      <c r="A1310" s="8"/>
    </row>
    <row r="1311" spans="1:1" x14ac:dyDescent="0.25">
      <c r="A1311" s="8"/>
    </row>
    <row r="1312" spans="1:1" x14ac:dyDescent="0.25">
      <c r="A1312" s="8"/>
    </row>
    <row r="1313" spans="1:1" x14ac:dyDescent="0.25">
      <c r="A1313" s="8"/>
    </row>
    <row r="1314" spans="1:1" x14ac:dyDescent="0.25">
      <c r="A1314" s="8"/>
    </row>
    <row r="1315" spans="1:1" x14ac:dyDescent="0.25">
      <c r="A1315" s="8"/>
    </row>
    <row r="1316" spans="1:1" x14ac:dyDescent="0.25">
      <c r="A1316" s="8"/>
    </row>
    <row r="1317" spans="1:1" x14ac:dyDescent="0.25">
      <c r="A1317" s="8"/>
    </row>
    <row r="1318" spans="1:1" x14ac:dyDescent="0.25">
      <c r="A1318" s="8"/>
    </row>
    <row r="1319" spans="1:1" x14ac:dyDescent="0.25">
      <c r="A1319" s="8"/>
    </row>
    <row r="1320" spans="1:1" x14ac:dyDescent="0.25">
      <c r="A1320" s="8"/>
    </row>
    <row r="1321" spans="1:1" x14ac:dyDescent="0.25">
      <c r="A1321" s="8"/>
    </row>
    <row r="1322" spans="1:1" x14ac:dyDescent="0.25">
      <c r="A1322" s="8"/>
    </row>
    <row r="1323" spans="1:1" x14ac:dyDescent="0.25">
      <c r="A1323" s="8"/>
    </row>
    <row r="1324" spans="1:1" x14ac:dyDescent="0.25">
      <c r="A1324" s="8"/>
    </row>
    <row r="1325" spans="1:1" x14ac:dyDescent="0.25">
      <c r="A1325" s="8"/>
    </row>
    <row r="1326" spans="1:1" x14ac:dyDescent="0.25">
      <c r="A1326" s="8"/>
    </row>
    <row r="1327" spans="1:1" x14ac:dyDescent="0.25">
      <c r="A1327" s="8"/>
    </row>
    <row r="1328" spans="1:1" x14ac:dyDescent="0.25">
      <c r="A1328" s="8"/>
    </row>
    <row r="1329" spans="1:1" x14ac:dyDescent="0.25">
      <c r="A1329" s="8"/>
    </row>
    <row r="1330" spans="1:1" x14ac:dyDescent="0.25">
      <c r="A1330" s="8"/>
    </row>
    <row r="1331" spans="1:1" x14ac:dyDescent="0.25">
      <c r="A1331" s="8"/>
    </row>
    <row r="1332" spans="1:1" x14ac:dyDescent="0.25">
      <c r="A1332" s="8"/>
    </row>
    <row r="1333" spans="1:1" x14ac:dyDescent="0.25">
      <c r="A1333" s="8"/>
    </row>
    <row r="1334" spans="1:1" x14ac:dyDescent="0.25">
      <c r="A1334" s="8"/>
    </row>
    <row r="1335" spans="1:1" x14ac:dyDescent="0.25">
      <c r="A1335" s="8"/>
    </row>
    <row r="1336" spans="1:1" x14ac:dyDescent="0.25">
      <c r="A1336" s="8"/>
    </row>
    <row r="1337" spans="1:1" x14ac:dyDescent="0.25">
      <c r="A1337" s="8"/>
    </row>
    <row r="1338" spans="1:1" x14ac:dyDescent="0.25">
      <c r="A1338" s="8"/>
    </row>
    <row r="1339" spans="1:1" x14ac:dyDescent="0.25">
      <c r="A1339" s="8"/>
    </row>
    <row r="1340" spans="1:1" x14ac:dyDescent="0.25">
      <c r="A1340" s="8"/>
    </row>
    <row r="1341" spans="1:1" x14ac:dyDescent="0.25">
      <c r="A1341" s="8"/>
    </row>
    <row r="1342" spans="1:1" x14ac:dyDescent="0.25">
      <c r="A1342" s="8"/>
    </row>
    <row r="1343" spans="1:1" x14ac:dyDescent="0.25">
      <c r="A1343" s="8"/>
    </row>
    <row r="1344" spans="1:1" x14ac:dyDescent="0.25">
      <c r="A1344" s="8"/>
    </row>
    <row r="1345" spans="1:1" x14ac:dyDescent="0.25">
      <c r="A1345" s="8"/>
    </row>
    <row r="1346" spans="1:1" x14ac:dyDescent="0.25">
      <c r="A1346" s="8"/>
    </row>
    <row r="1347" spans="1:1" x14ac:dyDescent="0.25">
      <c r="A1347" s="8"/>
    </row>
    <row r="1348" spans="1:1" x14ac:dyDescent="0.25">
      <c r="A1348" s="8"/>
    </row>
    <row r="1349" spans="1:1" x14ac:dyDescent="0.25">
      <c r="A1349" s="8"/>
    </row>
    <row r="1350" spans="1:1" x14ac:dyDescent="0.25">
      <c r="A1350" s="8"/>
    </row>
    <row r="1351" spans="1:1" x14ac:dyDescent="0.25">
      <c r="A1351" s="8"/>
    </row>
    <row r="1352" spans="1:1" x14ac:dyDescent="0.25">
      <c r="A1352" s="8"/>
    </row>
    <row r="1353" spans="1:1" x14ac:dyDescent="0.25">
      <c r="A1353" s="8"/>
    </row>
    <row r="1354" spans="1:1" x14ac:dyDescent="0.25">
      <c r="A1354" s="8"/>
    </row>
    <row r="1355" spans="1:1" x14ac:dyDescent="0.25">
      <c r="A1355" s="8"/>
    </row>
    <row r="1356" spans="1:1" x14ac:dyDescent="0.25">
      <c r="A1356" s="8"/>
    </row>
    <row r="1357" spans="1:1" x14ac:dyDescent="0.25">
      <c r="A1357" s="8"/>
    </row>
    <row r="1358" spans="1:1" x14ac:dyDescent="0.25">
      <c r="A1358" s="8"/>
    </row>
    <row r="1359" spans="1:1" x14ac:dyDescent="0.25">
      <c r="A1359" s="8"/>
    </row>
    <row r="1360" spans="1:1" x14ac:dyDescent="0.25">
      <c r="A1360" s="8"/>
    </row>
    <row r="1361" spans="1:1" x14ac:dyDescent="0.25">
      <c r="A1361" s="8"/>
    </row>
    <row r="1362" spans="1:1" x14ac:dyDescent="0.25">
      <c r="A1362" s="8"/>
    </row>
    <row r="1363" spans="1:1" x14ac:dyDescent="0.25">
      <c r="A1363" s="8"/>
    </row>
    <row r="1364" spans="1:1" x14ac:dyDescent="0.25">
      <c r="A1364" s="8"/>
    </row>
    <row r="1365" spans="1:1" x14ac:dyDescent="0.25">
      <c r="A1365" s="8"/>
    </row>
    <row r="1366" spans="1:1" x14ac:dyDescent="0.25">
      <c r="A1366" s="8"/>
    </row>
    <row r="1367" spans="1:1" x14ac:dyDescent="0.25">
      <c r="A1367" s="8"/>
    </row>
    <row r="1368" spans="1:1" x14ac:dyDescent="0.25">
      <c r="A1368" s="8"/>
    </row>
    <row r="1369" spans="1:1" x14ac:dyDescent="0.25">
      <c r="A1369" s="8"/>
    </row>
    <row r="1370" spans="1:1" x14ac:dyDescent="0.25">
      <c r="A1370" s="8"/>
    </row>
    <row r="1371" spans="1:1" x14ac:dyDescent="0.25">
      <c r="A1371" s="8"/>
    </row>
    <row r="1372" spans="1:1" x14ac:dyDescent="0.25">
      <c r="A1372" s="8"/>
    </row>
    <row r="1373" spans="1:1" x14ac:dyDescent="0.25">
      <c r="A1373" s="8"/>
    </row>
    <row r="1374" spans="1:1" x14ac:dyDescent="0.25">
      <c r="A1374" s="8"/>
    </row>
    <row r="1375" spans="1:1" x14ac:dyDescent="0.25">
      <c r="A1375" s="8"/>
    </row>
    <row r="1376" spans="1:1" x14ac:dyDescent="0.25">
      <c r="A1376" s="8"/>
    </row>
    <row r="1377" spans="1:1" x14ac:dyDescent="0.25">
      <c r="A1377" s="8"/>
    </row>
    <row r="1378" spans="1:1" x14ac:dyDescent="0.25">
      <c r="A1378" s="8"/>
    </row>
    <row r="1379" spans="1:1" x14ac:dyDescent="0.25">
      <c r="A1379" s="8"/>
    </row>
    <row r="1380" spans="1:1" x14ac:dyDescent="0.25">
      <c r="A1380" s="8"/>
    </row>
    <row r="1381" spans="1:1" x14ac:dyDescent="0.25">
      <c r="A1381" s="8"/>
    </row>
    <row r="1382" spans="1:1" x14ac:dyDescent="0.25">
      <c r="A1382" s="8"/>
    </row>
    <row r="1383" spans="1:1" x14ac:dyDescent="0.25">
      <c r="A1383" s="8"/>
    </row>
    <row r="1384" spans="1:1" x14ac:dyDescent="0.25">
      <c r="A1384" s="8"/>
    </row>
    <row r="1385" spans="1:1" x14ac:dyDescent="0.25">
      <c r="A1385" s="8"/>
    </row>
    <row r="1386" spans="1:1" x14ac:dyDescent="0.25">
      <c r="A1386" s="8"/>
    </row>
    <row r="1387" spans="1:1" x14ac:dyDescent="0.25">
      <c r="A1387" s="8"/>
    </row>
    <row r="1388" spans="1:1" x14ac:dyDescent="0.25">
      <c r="A1388" s="8"/>
    </row>
    <row r="1389" spans="1:1" x14ac:dyDescent="0.25">
      <c r="A1389" s="8"/>
    </row>
    <row r="1390" spans="1:1" x14ac:dyDescent="0.25">
      <c r="A1390" s="8"/>
    </row>
    <row r="1391" spans="1:1" x14ac:dyDescent="0.25">
      <c r="A1391" s="8"/>
    </row>
    <row r="1392" spans="1:1" x14ac:dyDescent="0.25">
      <c r="A1392" s="8"/>
    </row>
    <row r="1393" spans="1:1" x14ac:dyDescent="0.25">
      <c r="A1393" s="8"/>
    </row>
    <row r="1394" spans="1:1" x14ac:dyDescent="0.25">
      <c r="A1394" s="8"/>
    </row>
    <row r="1395" spans="1:1" x14ac:dyDescent="0.25">
      <c r="A1395" s="8"/>
    </row>
    <row r="1396" spans="1:1" x14ac:dyDescent="0.25">
      <c r="A1396" s="8"/>
    </row>
    <row r="1397" spans="1:1" x14ac:dyDescent="0.25">
      <c r="A1397" s="8"/>
    </row>
    <row r="1398" spans="1:1" x14ac:dyDescent="0.25">
      <c r="A1398" s="8"/>
    </row>
    <row r="1399" spans="1:1" x14ac:dyDescent="0.25">
      <c r="A1399" s="8"/>
    </row>
    <row r="1400" spans="1:1" x14ac:dyDescent="0.25">
      <c r="A1400" s="8"/>
    </row>
    <row r="1401" spans="1:1" x14ac:dyDescent="0.25">
      <c r="A1401" s="8"/>
    </row>
    <row r="1402" spans="1:1" x14ac:dyDescent="0.25">
      <c r="A1402" s="8"/>
    </row>
    <row r="1403" spans="1:1" x14ac:dyDescent="0.25">
      <c r="A1403" s="8"/>
    </row>
    <row r="1404" spans="1:1" x14ac:dyDescent="0.25">
      <c r="A1404" s="8"/>
    </row>
    <row r="1405" spans="1:1" x14ac:dyDescent="0.25">
      <c r="A1405" s="8"/>
    </row>
    <row r="1406" spans="1:1" x14ac:dyDescent="0.25">
      <c r="A1406" s="8"/>
    </row>
    <row r="1407" spans="1:1" x14ac:dyDescent="0.25">
      <c r="A1407" s="8"/>
    </row>
    <row r="1408" spans="1:1" x14ac:dyDescent="0.25">
      <c r="A1408" s="8"/>
    </row>
    <row r="1409" spans="1:1" x14ac:dyDescent="0.25">
      <c r="A1409" s="8"/>
    </row>
    <row r="1410" spans="1:1" x14ac:dyDescent="0.25">
      <c r="A1410" s="8"/>
    </row>
    <row r="1411" spans="1:1" x14ac:dyDescent="0.25">
      <c r="A1411" s="8"/>
    </row>
    <row r="1412" spans="1:1" x14ac:dyDescent="0.25">
      <c r="A1412" s="8"/>
    </row>
    <row r="1413" spans="1:1" x14ac:dyDescent="0.25">
      <c r="A1413" s="8"/>
    </row>
    <row r="1414" spans="1:1" x14ac:dyDescent="0.25">
      <c r="A1414" s="8"/>
    </row>
    <row r="1415" spans="1:1" x14ac:dyDescent="0.25">
      <c r="A1415" s="8"/>
    </row>
    <row r="1416" spans="1:1" x14ac:dyDescent="0.25">
      <c r="A1416" s="8"/>
    </row>
    <row r="1417" spans="1:1" x14ac:dyDescent="0.25">
      <c r="A1417" s="8"/>
    </row>
    <row r="1418" spans="1:1" x14ac:dyDescent="0.25">
      <c r="A1418" s="8"/>
    </row>
    <row r="1419" spans="1:1" x14ac:dyDescent="0.25">
      <c r="A1419" s="8"/>
    </row>
    <row r="1420" spans="1:1" x14ac:dyDescent="0.25">
      <c r="A1420" s="8"/>
    </row>
    <row r="1421" spans="1:1" x14ac:dyDescent="0.25">
      <c r="A1421" s="8"/>
    </row>
    <row r="1422" spans="1:1" x14ac:dyDescent="0.25">
      <c r="A1422" s="8"/>
    </row>
    <row r="1423" spans="1:1" x14ac:dyDescent="0.25">
      <c r="A1423" s="8"/>
    </row>
    <row r="1424" spans="1:1" x14ac:dyDescent="0.25">
      <c r="A1424" s="8"/>
    </row>
    <row r="1425" spans="1:1" x14ac:dyDescent="0.25">
      <c r="A1425" s="8"/>
    </row>
    <row r="1426" spans="1:1" x14ac:dyDescent="0.25">
      <c r="A1426" s="8"/>
    </row>
    <row r="1427" spans="1:1" x14ac:dyDescent="0.25">
      <c r="A1427" s="8"/>
    </row>
    <row r="1428" spans="1:1" x14ac:dyDescent="0.25">
      <c r="A1428" s="8"/>
    </row>
    <row r="1429" spans="1:1" x14ac:dyDescent="0.25">
      <c r="A1429" s="8"/>
    </row>
    <row r="1430" spans="1:1" x14ac:dyDescent="0.25">
      <c r="A1430" s="8"/>
    </row>
    <row r="1431" spans="1:1" x14ac:dyDescent="0.25">
      <c r="A1431" s="8"/>
    </row>
    <row r="1432" spans="1:1" x14ac:dyDescent="0.25">
      <c r="A1432" s="8"/>
    </row>
    <row r="1433" spans="1:1" x14ac:dyDescent="0.25">
      <c r="A1433" s="8"/>
    </row>
    <row r="1434" spans="1:1" x14ac:dyDescent="0.25">
      <c r="A1434" s="8"/>
    </row>
    <row r="1435" spans="1:1" x14ac:dyDescent="0.25">
      <c r="A1435" s="8"/>
    </row>
    <row r="1436" spans="1:1" x14ac:dyDescent="0.25">
      <c r="A1436" s="8"/>
    </row>
    <row r="1437" spans="1:1" x14ac:dyDescent="0.25">
      <c r="A1437" s="8"/>
    </row>
    <row r="1438" spans="1:1" x14ac:dyDescent="0.25">
      <c r="A1438" s="8"/>
    </row>
    <row r="1439" spans="1:1" x14ac:dyDescent="0.25">
      <c r="A1439" s="8"/>
    </row>
    <row r="1440" spans="1:1" x14ac:dyDescent="0.25">
      <c r="A1440" s="8"/>
    </row>
    <row r="1441" spans="1:1" x14ac:dyDescent="0.25">
      <c r="A1441" s="8"/>
    </row>
    <row r="1442" spans="1:1" x14ac:dyDescent="0.25">
      <c r="A1442" s="8"/>
    </row>
    <row r="1443" spans="1:1" x14ac:dyDescent="0.25">
      <c r="A1443" s="8"/>
    </row>
    <row r="1444" spans="1:1" x14ac:dyDescent="0.25">
      <c r="A1444" s="8"/>
    </row>
    <row r="1445" spans="1:1" x14ac:dyDescent="0.25">
      <c r="A1445" s="8"/>
    </row>
    <row r="1446" spans="1:1" x14ac:dyDescent="0.25">
      <c r="A1446" s="8"/>
    </row>
    <row r="1447" spans="1:1" x14ac:dyDescent="0.25">
      <c r="A1447" s="8"/>
    </row>
    <row r="1448" spans="1:1" x14ac:dyDescent="0.25">
      <c r="A1448" s="8"/>
    </row>
    <row r="1449" spans="1:1" x14ac:dyDescent="0.25">
      <c r="A1449" s="8"/>
    </row>
    <row r="1450" spans="1:1" x14ac:dyDescent="0.25">
      <c r="A1450" s="8"/>
    </row>
    <row r="1451" spans="1:1" x14ac:dyDescent="0.25">
      <c r="A1451" s="8"/>
    </row>
    <row r="1452" spans="1:1" x14ac:dyDescent="0.25">
      <c r="A1452" s="8"/>
    </row>
    <row r="1453" spans="1:1" x14ac:dyDescent="0.25">
      <c r="A1453" s="8"/>
    </row>
    <row r="1454" spans="1:1" x14ac:dyDescent="0.25">
      <c r="A1454" s="8"/>
    </row>
    <row r="1455" spans="1:1" x14ac:dyDescent="0.25">
      <c r="A1455" s="8"/>
    </row>
    <row r="1456" spans="1:1" x14ac:dyDescent="0.25">
      <c r="A1456" s="8"/>
    </row>
    <row r="1457" spans="1:1" x14ac:dyDescent="0.25">
      <c r="A1457" s="8"/>
    </row>
    <row r="1458" spans="1:1" x14ac:dyDescent="0.25">
      <c r="A1458" s="8"/>
    </row>
    <row r="1459" spans="1:1" x14ac:dyDescent="0.25">
      <c r="A1459" s="8"/>
    </row>
    <row r="1460" spans="1:1" x14ac:dyDescent="0.25">
      <c r="A1460" s="8"/>
    </row>
    <row r="1461" spans="1:1" x14ac:dyDescent="0.25">
      <c r="A1461" s="8"/>
    </row>
    <row r="1462" spans="1:1" x14ac:dyDescent="0.25">
      <c r="A1462" s="8"/>
    </row>
    <row r="1463" spans="1:1" x14ac:dyDescent="0.25">
      <c r="A1463" s="8"/>
    </row>
    <row r="1464" spans="1:1" x14ac:dyDescent="0.25">
      <c r="A1464" s="8"/>
    </row>
    <row r="1465" spans="1:1" x14ac:dyDescent="0.25">
      <c r="A1465" s="8"/>
    </row>
    <row r="1466" spans="1:1" x14ac:dyDescent="0.25">
      <c r="A1466" s="8"/>
    </row>
    <row r="1467" spans="1:1" x14ac:dyDescent="0.25">
      <c r="A1467" s="8"/>
    </row>
    <row r="1468" spans="1:1" x14ac:dyDescent="0.25">
      <c r="A1468" s="8"/>
    </row>
    <row r="1469" spans="1:1" x14ac:dyDescent="0.25">
      <c r="A1469" s="8"/>
    </row>
    <row r="1470" spans="1:1" x14ac:dyDescent="0.25">
      <c r="A1470" s="8"/>
    </row>
    <row r="1471" spans="1:1" x14ac:dyDescent="0.25">
      <c r="A1471" s="8"/>
    </row>
    <row r="1472" spans="1:1" x14ac:dyDescent="0.25">
      <c r="A1472" s="8"/>
    </row>
    <row r="1473" spans="1:1" x14ac:dyDescent="0.25">
      <c r="A1473" s="8"/>
    </row>
    <row r="1474" spans="1:1" x14ac:dyDescent="0.25">
      <c r="A1474" s="8"/>
    </row>
    <row r="1475" spans="1:1" x14ac:dyDescent="0.25">
      <c r="A1475" s="8"/>
    </row>
    <row r="1476" spans="1:1" x14ac:dyDescent="0.25">
      <c r="A1476" s="8"/>
    </row>
    <row r="1477" spans="1:1" x14ac:dyDescent="0.25">
      <c r="A1477" s="8"/>
    </row>
    <row r="1478" spans="1:1" x14ac:dyDescent="0.25">
      <c r="A1478" s="8"/>
    </row>
    <row r="1479" spans="1:1" x14ac:dyDescent="0.25">
      <c r="A1479" s="8"/>
    </row>
    <row r="1480" spans="1:1" x14ac:dyDescent="0.25">
      <c r="A1480" s="8"/>
    </row>
    <row r="1481" spans="1:1" x14ac:dyDescent="0.25">
      <c r="A1481" s="8"/>
    </row>
    <row r="1482" spans="1:1" x14ac:dyDescent="0.25">
      <c r="A1482" s="8"/>
    </row>
    <row r="1483" spans="1:1" x14ac:dyDescent="0.25">
      <c r="A1483" s="8"/>
    </row>
    <row r="1484" spans="1:1" x14ac:dyDescent="0.25">
      <c r="A1484" s="8"/>
    </row>
    <row r="1485" spans="1:1" x14ac:dyDescent="0.25">
      <c r="A1485" s="8"/>
    </row>
    <row r="1486" spans="1:1" x14ac:dyDescent="0.25">
      <c r="A1486" s="8"/>
    </row>
    <row r="1487" spans="1:1" x14ac:dyDescent="0.25">
      <c r="A1487" s="8"/>
    </row>
    <row r="1488" spans="1:1" x14ac:dyDescent="0.25">
      <c r="A1488" s="8"/>
    </row>
    <row r="1489" spans="1:1" x14ac:dyDescent="0.25">
      <c r="A1489" s="8"/>
    </row>
    <row r="1490" spans="1:1" x14ac:dyDescent="0.25">
      <c r="A1490" s="8"/>
    </row>
    <row r="1491" spans="1:1" x14ac:dyDescent="0.25">
      <c r="A1491" s="8"/>
    </row>
    <row r="1492" spans="1:1" x14ac:dyDescent="0.25">
      <c r="A1492" s="8"/>
    </row>
    <row r="1493" spans="1:1" x14ac:dyDescent="0.25">
      <c r="A1493" s="8"/>
    </row>
    <row r="1494" spans="1:1" x14ac:dyDescent="0.25">
      <c r="A1494" s="8"/>
    </row>
    <row r="1495" spans="1:1" x14ac:dyDescent="0.25">
      <c r="A1495" s="8"/>
    </row>
    <row r="1496" spans="1:1" x14ac:dyDescent="0.25">
      <c r="A1496" s="8"/>
    </row>
    <row r="1497" spans="1:1" x14ac:dyDescent="0.25">
      <c r="A1497" s="8"/>
    </row>
    <row r="1498" spans="1:1" x14ac:dyDescent="0.25">
      <c r="A1498" s="8"/>
    </row>
    <row r="1499" spans="1:1" x14ac:dyDescent="0.25">
      <c r="A1499" s="8"/>
    </row>
    <row r="1500" spans="1:1" x14ac:dyDescent="0.25">
      <c r="A1500" s="8"/>
    </row>
    <row r="1501" spans="1:1" x14ac:dyDescent="0.25">
      <c r="A1501" s="8"/>
    </row>
    <row r="1502" spans="1:1" x14ac:dyDescent="0.25">
      <c r="A1502" s="8"/>
    </row>
    <row r="1503" spans="1:1" x14ac:dyDescent="0.25">
      <c r="A1503" s="8"/>
    </row>
    <row r="1504" spans="1:1" x14ac:dyDescent="0.25">
      <c r="A1504" s="8"/>
    </row>
    <row r="1505" spans="1:1" x14ac:dyDescent="0.25">
      <c r="A1505" s="8"/>
    </row>
    <row r="1506" spans="1:1" x14ac:dyDescent="0.25">
      <c r="A1506" s="8"/>
    </row>
    <row r="1507" spans="1:1" x14ac:dyDescent="0.25">
      <c r="A1507" s="8"/>
    </row>
    <row r="1508" spans="1:1" x14ac:dyDescent="0.25">
      <c r="A1508" s="8"/>
    </row>
    <row r="1509" spans="1:1" x14ac:dyDescent="0.25">
      <c r="A1509" s="8"/>
    </row>
    <row r="1510" spans="1:1" x14ac:dyDescent="0.25">
      <c r="A1510" s="8"/>
    </row>
    <row r="1511" spans="1:1" x14ac:dyDescent="0.25">
      <c r="A1511" s="8"/>
    </row>
    <row r="1512" spans="1:1" x14ac:dyDescent="0.25">
      <c r="A1512" s="8"/>
    </row>
    <row r="1513" spans="1:1" x14ac:dyDescent="0.25">
      <c r="A1513" s="8"/>
    </row>
    <row r="1514" spans="1:1" x14ac:dyDescent="0.25">
      <c r="A1514" s="8"/>
    </row>
    <row r="1515" spans="1:1" x14ac:dyDescent="0.25">
      <c r="A1515" s="8"/>
    </row>
    <row r="1516" spans="1:1" x14ac:dyDescent="0.25">
      <c r="A1516" s="8"/>
    </row>
    <row r="1517" spans="1:1" x14ac:dyDescent="0.25">
      <c r="A1517" s="8"/>
    </row>
    <row r="1518" spans="1:1" x14ac:dyDescent="0.25">
      <c r="A1518" s="8"/>
    </row>
    <row r="1519" spans="1:1" x14ac:dyDescent="0.25">
      <c r="A1519" s="8"/>
    </row>
    <row r="1520" spans="1:1" x14ac:dyDescent="0.25">
      <c r="A1520" s="8"/>
    </row>
    <row r="1521" spans="1:1" x14ac:dyDescent="0.25">
      <c r="A1521" s="8"/>
    </row>
    <row r="1522" spans="1:1" x14ac:dyDescent="0.25">
      <c r="A1522" s="8"/>
    </row>
    <row r="1523" spans="1:1" x14ac:dyDescent="0.25">
      <c r="A1523" s="8"/>
    </row>
    <row r="1524" spans="1:1" x14ac:dyDescent="0.25">
      <c r="A1524" s="8"/>
    </row>
    <row r="1525" spans="1:1" x14ac:dyDescent="0.25">
      <c r="A1525" s="8"/>
    </row>
    <row r="1526" spans="1:1" x14ac:dyDescent="0.25">
      <c r="A1526" s="8"/>
    </row>
    <row r="1527" spans="1:1" x14ac:dyDescent="0.25">
      <c r="A1527" s="8"/>
    </row>
    <row r="1528" spans="1:1" x14ac:dyDescent="0.25">
      <c r="A1528" s="8"/>
    </row>
    <row r="1529" spans="1:1" x14ac:dyDescent="0.25">
      <c r="A1529" s="8"/>
    </row>
    <row r="1530" spans="1:1" x14ac:dyDescent="0.25">
      <c r="A1530" s="8"/>
    </row>
    <row r="1531" spans="1:1" x14ac:dyDescent="0.25">
      <c r="A1531" s="8"/>
    </row>
    <row r="1532" spans="1:1" x14ac:dyDescent="0.25">
      <c r="A1532" s="8"/>
    </row>
    <row r="1533" spans="1:1" x14ac:dyDescent="0.25">
      <c r="A1533" s="8"/>
    </row>
    <row r="1534" spans="1:1" x14ac:dyDescent="0.25">
      <c r="A1534" s="8"/>
    </row>
    <row r="1535" spans="1:1" x14ac:dyDescent="0.25">
      <c r="A1535" s="8"/>
    </row>
    <row r="1536" spans="1:1" x14ac:dyDescent="0.25">
      <c r="A1536" s="8"/>
    </row>
    <row r="1537" spans="1:1" x14ac:dyDescent="0.25">
      <c r="A1537" s="8"/>
    </row>
    <row r="1538" spans="1:1" x14ac:dyDescent="0.25">
      <c r="A1538" s="8"/>
    </row>
    <row r="1539" spans="1:1" x14ac:dyDescent="0.25">
      <c r="A1539" s="8"/>
    </row>
    <row r="1540" spans="1:1" x14ac:dyDescent="0.25">
      <c r="A1540" s="8"/>
    </row>
    <row r="1541" spans="1:1" x14ac:dyDescent="0.25">
      <c r="A1541" s="8"/>
    </row>
    <row r="1542" spans="1:1" x14ac:dyDescent="0.25">
      <c r="A1542" s="8"/>
    </row>
    <row r="1543" spans="1:1" x14ac:dyDescent="0.25">
      <c r="A1543" s="8"/>
    </row>
    <row r="1544" spans="1:1" x14ac:dyDescent="0.25">
      <c r="A1544" s="8"/>
    </row>
    <row r="1545" spans="1:1" x14ac:dyDescent="0.25">
      <c r="A1545" s="8"/>
    </row>
    <row r="1546" spans="1:1" x14ac:dyDescent="0.25">
      <c r="A1546" s="8"/>
    </row>
    <row r="1547" spans="1:1" x14ac:dyDescent="0.25">
      <c r="A1547" s="8"/>
    </row>
    <row r="1548" spans="1:1" x14ac:dyDescent="0.25">
      <c r="A1548" s="8"/>
    </row>
    <row r="1549" spans="1:1" x14ac:dyDescent="0.25">
      <c r="A1549" s="8"/>
    </row>
    <row r="1550" spans="1:1" x14ac:dyDescent="0.25">
      <c r="A1550" s="8"/>
    </row>
    <row r="1551" spans="1:1" x14ac:dyDescent="0.25">
      <c r="A1551" s="8"/>
    </row>
    <row r="1552" spans="1:1" x14ac:dyDescent="0.25">
      <c r="A1552" s="8"/>
    </row>
    <row r="1553" spans="1:1" x14ac:dyDescent="0.25">
      <c r="A1553" s="8"/>
    </row>
    <row r="1554" spans="1:1" x14ac:dyDescent="0.25">
      <c r="A1554" s="8"/>
    </row>
    <row r="1555" spans="1:1" x14ac:dyDescent="0.25">
      <c r="A1555" s="8"/>
    </row>
    <row r="1556" spans="1:1" x14ac:dyDescent="0.25">
      <c r="A1556" s="8"/>
    </row>
    <row r="1557" spans="1:1" x14ac:dyDescent="0.25">
      <c r="A1557" s="8"/>
    </row>
    <row r="1558" spans="1:1" x14ac:dyDescent="0.25">
      <c r="A1558" s="8"/>
    </row>
    <row r="1559" spans="1:1" x14ac:dyDescent="0.25">
      <c r="A1559" s="8"/>
    </row>
    <row r="1560" spans="1:1" x14ac:dyDescent="0.25">
      <c r="A1560" s="8"/>
    </row>
    <row r="1561" spans="1:1" x14ac:dyDescent="0.25">
      <c r="A1561" s="8"/>
    </row>
    <row r="1562" spans="1:1" x14ac:dyDescent="0.25">
      <c r="A1562" s="8"/>
    </row>
    <row r="1563" spans="1:1" x14ac:dyDescent="0.25">
      <c r="A1563" s="8"/>
    </row>
    <row r="1564" spans="1:1" x14ac:dyDescent="0.25">
      <c r="A1564" s="8"/>
    </row>
    <row r="1565" spans="1:1" x14ac:dyDescent="0.25">
      <c r="A1565" s="8"/>
    </row>
    <row r="1566" spans="1:1" x14ac:dyDescent="0.25">
      <c r="A1566" s="8"/>
    </row>
    <row r="1567" spans="1:1" x14ac:dyDescent="0.25">
      <c r="A1567" s="8"/>
    </row>
    <row r="1568" spans="1:1" x14ac:dyDescent="0.25">
      <c r="A1568" s="8"/>
    </row>
    <row r="1569" spans="1:1" x14ac:dyDescent="0.25">
      <c r="A1569" s="8"/>
    </row>
    <row r="1570" spans="1:1" x14ac:dyDescent="0.25">
      <c r="A1570" s="8"/>
    </row>
    <row r="1571" spans="1:1" x14ac:dyDescent="0.25">
      <c r="A1571" s="8"/>
    </row>
    <row r="1572" spans="1:1" x14ac:dyDescent="0.25">
      <c r="A1572" s="8"/>
    </row>
    <row r="1573" spans="1:1" x14ac:dyDescent="0.25">
      <c r="A1573" s="8"/>
    </row>
    <row r="1574" spans="1:1" x14ac:dyDescent="0.25">
      <c r="A1574" s="8"/>
    </row>
    <row r="1575" spans="1:1" x14ac:dyDescent="0.25">
      <c r="A1575" s="8"/>
    </row>
    <row r="1576" spans="1:1" x14ac:dyDescent="0.25">
      <c r="A1576" s="8"/>
    </row>
    <row r="1577" spans="1:1" x14ac:dyDescent="0.25">
      <c r="A1577" s="8"/>
    </row>
    <row r="1578" spans="1:1" x14ac:dyDescent="0.25">
      <c r="A1578" s="8"/>
    </row>
    <row r="1579" spans="1:1" x14ac:dyDescent="0.25">
      <c r="A1579" s="8"/>
    </row>
    <row r="1580" spans="1:1" x14ac:dyDescent="0.25">
      <c r="A1580" s="8"/>
    </row>
    <row r="1581" spans="1:1" x14ac:dyDescent="0.25">
      <c r="A1581" s="8"/>
    </row>
    <row r="1582" spans="1:1" x14ac:dyDescent="0.25">
      <c r="A1582" s="8"/>
    </row>
    <row r="1583" spans="1:1" x14ac:dyDescent="0.25">
      <c r="A1583" s="8"/>
    </row>
    <row r="1584" spans="1:1" x14ac:dyDescent="0.25">
      <c r="A1584" s="8"/>
    </row>
    <row r="1585" spans="1:1" x14ac:dyDescent="0.25">
      <c r="A1585" s="8"/>
    </row>
    <row r="1586" spans="1:1" x14ac:dyDescent="0.25">
      <c r="A1586" s="8"/>
    </row>
    <row r="1587" spans="1:1" x14ac:dyDescent="0.25">
      <c r="A1587" s="8"/>
    </row>
    <row r="1588" spans="1:1" x14ac:dyDescent="0.25">
      <c r="A1588" s="8"/>
    </row>
    <row r="1589" spans="1:1" x14ac:dyDescent="0.25">
      <c r="A1589" s="8"/>
    </row>
    <row r="1590" spans="1:1" x14ac:dyDescent="0.25">
      <c r="A1590" s="8"/>
    </row>
    <row r="1591" spans="1:1" x14ac:dyDescent="0.25">
      <c r="A1591" s="8"/>
    </row>
    <row r="1592" spans="1:1" x14ac:dyDescent="0.25">
      <c r="A1592" s="8"/>
    </row>
    <row r="1593" spans="1:1" x14ac:dyDescent="0.25">
      <c r="A1593" s="8"/>
    </row>
    <row r="1594" spans="1:1" x14ac:dyDescent="0.25">
      <c r="A1594" s="8"/>
    </row>
    <row r="1595" spans="1:1" x14ac:dyDescent="0.25">
      <c r="A1595" s="8"/>
    </row>
    <row r="1596" spans="1:1" x14ac:dyDescent="0.25">
      <c r="A1596" s="8"/>
    </row>
    <row r="1597" spans="1:1" x14ac:dyDescent="0.25">
      <c r="A1597" s="8"/>
    </row>
    <row r="1598" spans="1:1" x14ac:dyDescent="0.25">
      <c r="A1598" s="8"/>
    </row>
    <row r="1599" spans="1:1" x14ac:dyDescent="0.25">
      <c r="A1599" s="8"/>
    </row>
    <row r="1600" spans="1:1" x14ac:dyDescent="0.25">
      <c r="A1600" s="8"/>
    </row>
    <row r="1601" spans="1:1" x14ac:dyDescent="0.25">
      <c r="A1601" s="8"/>
    </row>
    <row r="1602" spans="1:1" x14ac:dyDescent="0.25">
      <c r="A1602" s="8"/>
    </row>
    <row r="1603" spans="1:1" x14ac:dyDescent="0.25">
      <c r="A1603" s="8"/>
    </row>
    <row r="1604" spans="1:1" x14ac:dyDescent="0.25">
      <c r="A1604" s="8"/>
    </row>
    <row r="1605" spans="1:1" x14ac:dyDescent="0.25">
      <c r="A1605" s="8"/>
    </row>
    <row r="1606" spans="1:1" x14ac:dyDescent="0.25">
      <c r="A1606" s="8"/>
    </row>
    <row r="1607" spans="1:1" x14ac:dyDescent="0.25">
      <c r="A1607" s="8"/>
    </row>
    <row r="1608" spans="1:1" x14ac:dyDescent="0.25">
      <c r="A1608" s="8"/>
    </row>
    <row r="1609" spans="1:1" x14ac:dyDescent="0.25">
      <c r="A1609" s="8"/>
    </row>
    <row r="1610" spans="1:1" x14ac:dyDescent="0.25">
      <c r="A1610" s="8"/>
    </row>
    <row r="1611" spans="1:1" x14ac:dyDescent="0.25">
      <c r="A1611" s="8"/>
    </row>
    <row r="1612" spans="1:1" x14ac:dyDescent="0.25">
      <c r="A1612" s="8"/>
    </row>
    <row r="1613" spans="1:1" x14ac:dyDescent="0.25">
      <c r="A1613" s="8"/>
    </row>
    <row r="1614" spans="1:1" x14ac:dyDescent="0.25">
      <c r="A1614" s="8"/>
    </row>
    <row r="1615" spans="1:1" x14ac:dyDescent="0.25">
      <c r="A1615" s="8"/>
    </row>
    <row r="1616" spans="1:1" x14ac:dyDescent="0.25">
      <c r="A1616" s="8"/>
    </row>
    <row r="1617" spans="1:1" x14ac:dyDescent="0.25">
      <c r="A1617" s="8"/>
    </row>
    <row r="1618" spans="1:1" x14ac:dyDescent="0.25">
      <c r="A1618" s="8"/>
    </row>
    <row r="1619" spans="1:1" x14ac:dyDescent="0.25">
      <c r="A1619" s="8"/>
    </row>
    <row r="1620" spans="1:1" x14ac:dyDescent="0.25">
      <c r="A1620" s="8"/>
    </row>
    <row r="1621" spans="1:1" x14ac:dyDescent="0.25">
      <c r="A1621" s="8"/>
    </row>
    <row r="1622" spans="1:1" x14ac:dyDescent="0.25">
      <c r="A1622" s="8"/>
    </row>
    <row r="1623" spans="1:1" x14ac:dyDescent="0.25">
      <c r="A1623" s="8"/>
    </row>
    <row r="1624" spans="1:1" x14ac:dyDescent="0.25">
      <c r="A1624" s="8"/>
    </row>
    <row r="1625" spans="1:1" x14ac:dyDescent="0.25">
      <c r="A1625" s="8"/>
    </row>
    <row r="1626" spans="1:1" x14ac:dyDescent="0.25">
      <c r="A1626" s="8"/>
    </row>
    <row r="1627" spans="1:1" x14ac:dyDescent="0.25">
      <c r="A1627" s="8"/>
    </row>
    <row r="1628" spans="1:1" x14ac:dyDescent="0.25">
      <c r="A1628" s="8"/>
    </row>
    <row r="1629" spans="1:1" x14ac:dyDescent="0.25">
      <c r="A1629" s="8"/>
    </row>
    <row r="1630" spans="1:1" x14ac:dyDescent="0.25">
      <c r="A1630" s="8"/>
    </row>
    <row r="1631" spans="1:1" x14ac:dyDescent="0.25">
      <c r="A1631" s="8"/>
    </row>
    <row r="1632" spans="1:1" x14ac:dyDescent="0.25">
      <c r="A1632" s="8"/>
    </row>
    <row r="1633" spans="1:1" x14ac:dyDescent="0.25">
      <c r="A1633" s="8"/>
    </row>
    <row r="1634" spans="1:1" x14ac:dyDescent="0.25">
      <c r="A1634" s="8"/>
    </row>
    <row r="1635" spans="1:1" x14ac:dyDescent="0.25">
      <c r="A1635" s="8"/>
    </row>
    <row r="1636" spans="1:1" x14ac:dyDescent="0.25">
      <c r="A1636" s="8"/>
    </row>
    <row r="1637" spans="1:1" x14ac:dyDescent="0.25">
      <c r="A1637" s="8"/>
    </row>
    <row r="1638" spans="1:1" x14ac:dyDescent="0.25">
      <c r="A1638" s="8"/>
    </row>
    <row r="1639" spans="1:1" x14ac:dyDescent="0.25">
      <c r="A1639" s="8"/>
    </row>
    <row r="1640" spans="1:1" x14ac:dyDescent="0.25">
      <c r="A1640" s="8"/>
    </row>
    <row r="1641" spans="1:1" x14ac:dyDescent="0.25">
      <c r="A1641" s="8"/>
    </row>
    <row r="1642" spans="1:1" x14ac:dyDescent="0.25">
      <c r="A1642" s="8"/>
    </row>
    <row r="1643" spans="1:1" x14ac:dyDescent="0.25">
      <c r="A1643" s="8"/>
    </row>
    <row r="1644" spans="1:1" x14ac:dyDescent="0.25">
      <c r="A1644" s="8"/>
    </row>
    <row r="1645" spans="1:1" x14ac:dyDescent="0.25">
      <c r="A1645" s="8"/>
    </row>
    <row r="1646" spans="1:1" x14ac:dyDescent="0.25">
      <c r="A1646" s="8"/>
    </row>
    <row r="1647" spans="1:1" x14ac:dyDescent="0.25">
      <c r="A1647" s="8"/>
    </row>
    <row r="1648" spans="1:1" x14ac:dyDescent="0.25">
      <c r="A1648" s="8"/>
    </row>
    <row r="1649" spans="1:1" x14ac:dyDescent="0.25">
      <c r="A1649" s="8"/>
    </row>
    <row r="1650" spans="1:1" x14ac:dyDescent="0.25">
      <c r="A1650" s="8"/>
    </row>
    <row r="1651" spans="1:1" x14ac:dyDescent="0.25">
      <c r="A1651" s="8"/>
    </row>
    <row r="1652" spans="1:1" x14ac:dyDescent="0.25">
      <c r="A1652" s="8"/>
    </row>
    <row r="1653" spans="1:1" x14ac:dyDescent="0.25">
      <c r="A1653" s="8"/>
    </row>
    <row r="1654" spans="1:1" x14ac:dyDescent="0.25">
      <c r="A1654" s="8"/>
    </row>
    <row r="1655" spans="1:1" x14ac:dyDescent="0.25">
      <c r="A1655" s="8"/>
    </row>
    <row r="1656" spans="1:1" x14ac:dyDescent="0.25">
      <c r="A1656" s="8"/>
    </row>
    <row r="1657" spans="1:1" x14ac:dyDescent="0.25">
      <c r="A1657" s="8"/>
    </row>
    <row r="1658" spans="1:1" x14ac:dyDescent="0.25">
      <c r="A1658" s="8"/>
    </row>
    <row r="1659" spans="1:1" x14ac:dyDescent="0.25">
      <c r="A1659" s="8"/>
    </row>
    <row r="1660" spans="1:1" x14ac:dyDescent="0.25">
      <c r="A1660" s="8"/>
    </row>
    <row r="1661" spans="1:1" x14ac:dyDescent="0.25">
      <c r="A1661" s="8"/>
    </row>
    <row r="1662" spans="1:1" x14ac:dyDescent="0.25">
      <c r="A1662" s="8"/>
    </row>
    <row r="1663" spans="1:1" x14ac:dyDescent="0.25">
      <c r="A1663" s="8"/>
    </row>
    <row r="1664" spans="1:1" x14ac:dyDescent="0.25">
      <c r="A1664" s="8"/>
    </row>
    <row r="1665" spans="1:1" x14ac:dyDescent="0.25">
      <c r="A1665" s="8"/>
    </row>
    <row r="1666" spans="1:1" x14ac:dyDescent="0.25">
      <c r="A1666" s="8"/>
    </row>
    <row r="1667" spans="1:1" x14ac:dyDescent="0.25">
      <c r="A1667" s="8"/>
    </row>
    <row r="1668" spans="1:1" x14ac:dyDescent="0.25">
      <c r="A1668" s="8"/>
    </row>
    <row r="1669" spans="1:1" x14ac:dyDescent="0.25">
      <c r="A1669" s="8"/>
    </row>
    <row r="1670" spans="1:1" x14ac:dyDescent="0.25">
      <c r="A1670" s="8"/>
    </row>
    <row r="1671" spans="1:1" x14ac:dyDescent="0.25">
      <c r="A1671" s="8"/>
    </row>
    <row r="1672" spans="1:1" x14ac:dyDescent="0.25">
      <c r="A1672" s="8"/>
    </row>
    <row r="1673" spans="1:1" x14ac:dyDescent="0.25">
      <c r="A1673" s="8"/>
    </row>
    <row r="1674" spans="1:1" x14ac:dyDescent="0.25">
      <c r="A1674" s="8"/>
    </row>
    <row r="1675" spans="1:1" x14ac:dyDescent="0.25">
      <c r="A1675" s="8"/>
    </row>
    <row r="1676" spans="1:1" x14ac:dyDescent="0.25">
      <c r="A1676" s="8"/>
    </row>
    <row r="1677" spans="1:1" x14ac:dyDescent="0.25">
      <c r="A1677" s="8"/>
    </row>
    <row r="1678" spans="1:1" x14ac:dyDescent="0.25">
      <c r="A1678" s="8"/>
    </row>
    <row r="1679" spans="1:1" x14ac:dyDescent="0.25">
      <c r="A1679" s="8"/>
    </row>
    <row r="1680" spans="1:1" x14ac:dyDescent="0.25">
      <c r="A1680" s="8"/>
    </row>
    <row r="1681" spans="1:1" x14ac:dyDescent="0.25">
      <c r="A1681" s="8"/>
    </row>
    <row r="1682" spans="1:1" x14ac:dyDescent="0.25">
      <c r="A1682" s="8"/>
    </row>
    <row r="1683" spans="1:1" x14ac:dyDescent="0.25">
      <c r="A1683" s="8"/>
    </row>
    <row r="1684" spans="1:1" x14ac:dyDescent="0.25">
      <c r="A1684" s="8"/>
    </row>
    <row r="1685" spans="1:1" x14ac:dyDescent="0.25">
      <c r="A1685" s="8"/>
    </row>
    <row r="1686" spans="1:1" x14ac:dyDescent="0.25">
      <c r="A1686" s="8"/>
    </row>
    <row r="1687" spans="1:1" x14ac:dyDescent="0.25">
      <c r="A1687" s="8"/>
    </row>
    <row r="1688" spans="1:1" x14ac:dyDescent="0.25">
      <c r="A1688" s="8"/>
    </row>
    <row r="1689" spans="1:1" x14ac:dyDescent="0.25">
      <c r="A1689" s="8"/>
    </row>
    <row r="1690" spans="1:1" x14ac:dyDescent="0.25">
      <c r="A1690" s="8"/>
    </row>
    <row r="1691" spans="1:1" x14ac:dyDescent="0.25">
      <c r="A1691" s="8"/>
    </row>
    <row r="1692" spans="1:1" x14ac:dyDescent="0.25">
      <c r="A1692" s="8"/>
    </row>
    <row r="1693" spans="1:1" x14ac:dyDescent="0.25">
      <c r="A1693" s="8"/>
    </row>
    <row r="1694" spans="1:1" x14ac:dyDescent="0.25">
      <c r="A1694" s="8"/>
    </row>
    <row r="1695" spans="1:1" x14ac:dyDescent="0.25">
      <c r="A1695" s="8"/>
    </row>
    <row r="1696" spans="1:1" x14ac:dyDescent="0.25">
      <c r="A1696" s="8"/>
    </row>
    <row r="1697" spans="1:1" x14ac:dyDescent="0.25">
      <c r="A1697" s="8"/>
    </row>
    <row r="1698" spans="1:1" x14ac:dyDescent="0.25">
      <c r="A1698" s="8"/>
    </row>
    <row r="1699" spans="1:1" x14ac:dyDescent="0.25">
      <c r="A1699" s="8"/>
    </row>
    <row r="1700" spans="1:1" x14ac:dyDescent="0.25">
      <c r="A1700" s="8"/>
    </row>
    <row r="1701" spans="1:1" x14ac:dyDescent="0.25">
      <c r="A1701" s="8"/>
    </row>
    <row r="1702" spans="1:1" x14ac:dyDescent="0.25">
      <c r="A1702" s="8"/>
    </row>
    <row r="1703" spans="1:1" x14ac:dyDescent="0.25">
      <c r="A1703" s="8"/>
    </row>
    <row r="1704" spans="1:1" x14ac:dyDescent="0.25">
      <c r="A1704" s="8"/>
    </row>
    <row r="1705" spans="1:1" x14ac:dyDescent="0.25">
      <c r="A1705" s="8"/>
    </row>
    <row r="1706" spans="1:1" x14ac:dyDescent="0.25">
      <c r="A1706" s="8"/>
    </row>
    <row r="1707" spans="1:1" x14ac:dyDescent="0.25">
      <c r="A1707" s="8"/>
    </row>
    <row r="1708" spans="1:1" x14ac:dyDescent="0.25">
      <c r="A1708" s="8"/>
    </row>
    <row r="1709" spans="1:1" x14ac:dyDescent="0.25">
      <c r="A1709" s="8"/>
    </row>
    <row r="1710" spans="1:1" x14ac:dyDescent="0.25">
      <c r="A1710" s="8"/>
    </row>
    <row r="1711" spans="1:1" x14ac:dyDescent="0.25">
      <c r="A1711" s="8"/>
    </row>
    <row r="1712" spans="1:1" x14ac:dyDescent="0.25">
      <c r="A1712" s="8"/>
    </row>
    <row r="1713" spans="1:1" x14ac:dyDescent="0.25">
      <c r="A1713" s="8"/>
    </row>
    <row r="1714" spans="1:1" x14ac:dyDescent="0.25">
      <c r="A1714" s="8"/>
    </row>
    <row r="1715" spans="1:1" x14ac:dyDescent="0.25">
      <c r="A1715" s="8"/>
    </row>
    <row r="1716" spans="1:1" x14ac:dyDescent="0.25">
      <c r="A1716" s="8"/>
    </row>
    <row r="1717" spans="1:1" x14ac:dyDescent="0.25">
      <c r="A1717" s="8"/>
    </row>
    <row r="1718" spans="1:1" x14ac:dyDescent="0.25">
      <c r="A1718" s="8"/>
    </row>
    <row r="1719" spans="1:1" x14ac:dyDescent="0.25">
      <c r="A1719" s="8"/>
    </row>
    <row r="1720" spans="1:1" x14ac:dyDescent="0.25">
      <c r="A1720" s="8"/>
    </row>
    <row r="1721" spans="1:1" x14ac:dyDescent="0.25">
      <c r="A1721" s="8"/>
    </row>
    <row r="1722" spans="1:1" x14ac:dyDescent="0.25">
      <c r="A1722" s="8"/>
    </row>
    <row r="1723" spans="1:1" x14ac:dyDescent="0.25">
      <c r="A1723" s="8"/>
    </row>
    <row r="1724" spans="1:1" x14ac:dyDescent="0.25">
      <c r="A1724" s="8"/>
    </row>
    <row r="1725" spans="1:1" x14ac:dyDescent="0.25">
      <c r="A1725" s="8"/>
    </row>
    <row r="1726" spans="1:1" x14ac:dyDescent="0.25">
      <c r="A1726" s="8"/>
    </row>
    <row r="1727" spans="1:1" x14ac:dyDescent="0.25">
      <c r="A1727" s="8"/>
    </row>
    <row r="1728" spans="1:1" x14ac:dyDescent="0.25">
      <c r="A1728" s="8"/>
    </row>
    <row r="1729" spans="1:1" x14ac:dyDescent="0.25">
      <c r="A1729" s="8"/>
    </row>
    <row r="1730" spans="1:1" x14ac:dyDescent="0.25">
      <c r="A1730" s="8"/>
    </row>
    <row r="1731" spans="1:1" x14ac:dyDescent="0.25">
      <c r="A1731" s="8"/>
    </row>
    <row r="1732" spans="1:1" x14ac:dyDescent="0.25">
      <c r="A1732" s="8"/>
    </row>
    <row r="1733" spans="1:1" x14ac:dyDescent="0.25">
      <c r="A1733" s="8"/>
    </row>
    <row r="1734" spans="1:1" x14ac:dyDescent="0.25">
      <c r="A1734" s="8"/>
    </row>
    <row r="1735" spans="1:1" x14ac:dyDescent="0.25">
      <c r="A1735" s="8"/>
    </row>
    <row r="1736" spans="1:1" x14ac:dyDescent="0.25">
      <c r="A1736" s="8"/>
    </row>
    <row r="1737" spans="1:1" x14ac:dyDescent="0.25">
      <c r="A1737" s="8"/>
    </row>
    <row r="1738" spans="1:1" x14ac:dyDescent="0.25">
      <c r="A1738" s="8"/>
    </row>
    <row r="1739" spans="1:1" x14ac:dyDescent="0.25">
      <c r="A1739" s="8"/>
    </row>
    <row r="1740" spans="1:1" x14ac:dyDescent="0.25">
      <c r="A1740" s="8"/>
    </row>
    <row r="1741" spans="1:1" x14ac:dyDescent="0.25">
      <c r="A1741" s="8"/>
    </row>
    <row r="1742" spans="1:1" x14ac:dyDescent="0.25">
      <c r="A1742" s="8"/>
    </row>
    <row r="1743" spans="1:1" x14ac:dyDescent="0.25">
      <c r="A1743" s="8"/>
    </row>
    <row r="1744" spans="1:1" x14ac:dyDescent="0.25">
      <c r="A1744" s="8"/>
    </row>
    <row r="1745" spans="1:1" x14ac:dyDescent="0.25">
      <c r="A1745" s="8"/>
    </row>
    <row r="1746" spans="1:1" x14ac:dyDescent="0.25">
      <c r="A1746" s="8"/>
    </row>
    <row r="1747" spans="1:1" x14ac:dyDescent="0.25">
      <c r="A1747" s="8"/>
    </row>
    <row r="1748" spans="1:1" x14ac:dyDescent="0.25">
      <c r="A1748" s="8"/>
    </row>
    <row r="1749" spans="1:1" x14ac:dyDescent="0.25">
      <c r="A1749" s="8"/>
    </row>
    <row r="1750" spans="1:1" x14ac:dyDescent="0.25">
      <c r="A1750" s="8"/>
    </row>
    <row r="1751" spans="1:1" x14ac:dyDescent="0.25">
      <c r="A1751" s="8"/>
    </row>
    <row r="1752" spans="1:1" x14ac:dyDescent="0.25">
      <c r="A1752" s="8"/>
    </row>
    <row r="1753" spans="1:1" x14ac:dyDescent="0.25">
      <c r="A1753" s="8"/>
    </row>
    <row r="1754" spans="1:1" x14ac:dyDescent="0.25">
      <c r="A1754" s="8"/>
    </row>
    <row r="1755" spans="1:1" x14ac:dyDescent="0.25">
      <c r="A1755" s="8"/>
    </row>
    <row r="1756" spans="1:1" x14ac:dyDescent="0.25">
      <c r="A1756" s="8"/>
    </row>
    <row r="1757" spans="1:1" x14ac:dyDescent="0.25">
      <c r="A1757" s="8"/>
    </row>
    <row r="1758" spans="1:1" x14ac:dyDescent="0.25">
      <c r="A1758" s="8"/>
    </row>
    <row r="1759" spans="1:1" x14ac:dyDescent="0.25">
      <c r="A1759" s="8"/>
    </row>
    <row r="1760" spans="1:1" x14ac:dyDescent="0.25">
      <c r="A1760" s="8"/>
    </row>
    <row r="1761" spans="1:1" x14ac:dyDescent="0.25">
      <c r="A1761" s="8"/>
    </row>
    <row r="1762" spans="1:1" x14ac:dyDescent="0.25">
      <c r="A1762" s="8"/>
    </row>
    <row r="1763" spans="1:1" x14ac:dyDescent="0.25">
      <c r="A1763" s="8"/>
    </row>
    <row r="1764" spans="1:1" x14ac:dyDescent="0.25">
      <c r="A1764" s="8"/>
    </row>
    <row r="1765" spans="1:1" x14ac:dyDescent="0.25">
      <c r="A1765" s="8"/>
    </row>
    <row r="1766" spans="1:1" x14ac:dyDescent="0.25">
      <c r="A1766" s="8"/>
    </row>
    <row r="1767" spans="1:1" x14ac:dyDescent="0.25">
      <c r="A1767" s="8"/>
    </row>
    <row r="1768" spans="1:1" x14ac:dyDescent="0.25">
      <c r="A1768" s="8"/>
    </row>
    <row r="1769" spans="1:1" x14ac:dyDescent="0.25">
      <c r="A1769" s="8"/>
    </row>
    <row r="1770" spans="1:1" x14ac:dyDescent="0.25">
      <c r="A1770" s="8"/>
    </row>
    <row r="1771" spans="1:1" x14ac:dyDescent="0.25">
      <c r="A1771" s="8"/>
    </row>
    <row r="1772" spans="1:1" x14ac:dyDescent="0.25">
      <c r="A1772" s="8"/>
    </row>
    <row r="1773" spans="1:1" x14ac:dyDescent="0.25">
      <c r="A1773" s="8"/>
    </row>
    <row r="1774" spans="1:1" x14ac:dyDescent="0.25">
      <c r="A1774" s="8"/>
    </row>
    <row r="1775" spans="1:1" x14ac:dyDescent="0.25">
      <c r="A1775" s="8"/>
    </row>
    <row r="1776" spans="1:1" x14ac:dyDescent="0.25">
      <c r="A1776" s="8"/>
    </row>
    <row r="1777" spans="1:1" x14ac:dyDescent="0.25">
      <c r="A1777" s="8"/>
    </row>
    <row r="1778" spans="1:1" x14ac:dyDescent="0.25">
      <c r="A1778" s="8"/>
    </row>
    <row r="1779" spans="1:1" x14ac:dyDescent="0.25">
      <c r="A1779" s="8"/>
    </row>
    <row r="1780" spans="1:1" x14ac:dyDescent="0.25">
      <c r="A1780" s="8"/>
    </row>
    <row r="1781" spans="1:1" x14ac:dyDescent="0.25">
      <c r="A1781" s="8"/>
    </row>
    <row r="1782" spans="1:1" x14ac:dyDescent="0.25">
      <c r="A1782" s="8"/>
    </row>
    <row r="1783" spans="1:1" x14ac:dyDescent="0.25">
      <c r="A1783" s="8"/>
    </row>
    <row r="1784" spans="1:1" x14ac:dyDescent="0.25">
      <c r="A1784" s="8"/>
    </row>
    <row r="1785" spans="1:1" x14ac:dyDescent="0.25">
      <c r="A1785" s="8"/>
    </row>
    <row r="1786" spans="1:1" x14ac:dyDescent="0.25">
      <c r="A1786" s="8"/>
    </row>
    <row r="1787" spans="1:1" x14ac:dyDescent="0.25">
      <c r="A1787" s="8"/>
    </row>
    <row r="1788" spans="1:1" x14ac:dyDescent="0.25">
      <c r="A1788" s="8"/>
    </row>
    <row r="1789" spans="1:1" x14ac:dyDescent="0.25">
      <c r="A1789" s="8"/>
    </row>
    <row r="1790" spans="1:1" x14ac:dyDescent="0.25">
      <c r="A1790" s="8"/>
    </row>
    <row r="1791" spans="1:1" x14ac:dyDescent="0.25">
      <c r="A1791" s="8"/>
    </row>
    <row r="1792" spans="1:1" x14ac:dyDescent="0.25">
      <c r="A1792" s="8"/>
    </row>
    <row r="1793" spans="1:1" x14ac:dyDescent="0.25">
      <c r="A1793" s="8"/>
    </row>
    <row r="1794" spans="1:1" x14ac:dyDescent="0.25">
      <c r="A1794" s="8"/>
    </row>
    <row r="1795" spans="1:1" x14ac:dyDescent="0.25">
      <c r="A1795" s="8"/>
    </row>
    <row r="1796" spans="1:1" x14ac:dyDescent="0.25">
      <c r="A1796" s="8"/>
    </row>
    <row r="1797" spans="1:1" x14ac:dyDescent="0.25">
      <c r="A1797" s="8"/>
    </row>
    <row r="1798" spans="1:1" x14ac:dyDescent="0.25">
      <c r="A1798" s="8"/>
    </row>
    <row r="1799" spans="1:1" x14ac:dyDescent="0.25">
      <c r="A1799" s="8"/>
    </row>
    <row r="1800" spans="1:1" x14ac:dyDescent="0.25">
      <c r="A1800" s="8"/>
    </row>
    <row r="1801" spans="1:1" x14ac:dyDescent="0.25">
      <c r="A1801" s="8"/>
    </row>
    <row r="1802" spans="1:1" x14ac:dyDescent="0.25">
      <c r="A1802" s="8"/>
    </row>
    <row r="1803" spans="1:1" x14ac:dyDescent="0.25">
      <c r="A1803" s="8"/>
    </row>
    <row r="1804" spans="1:1" x14ac:dyDescent="0.25">
      <c r="A1804" s="8"/>
    </row>
    <row r="1805" spans="1:1" x14ac:dyDescent="0.25">
      <c r="A1805" s="8"/>
    </row>
    <row r="1806" spans="1:1" x14ac:dyDescent="0.25">
      <c r="A1806" s="8"/>
    </row>
    <row r="1807" spans="1:1" x14ac:dyDescent="0.25">
      <c r="A1807" s="8"/>
    </row>
    <row r="1808" spans="1:1" x14ac:dyDescent="0.25">
      <c r="A1808" s="8"/>
    </row>
    <row r="1809" spans="1:1" x14ac:dyDescent="0.25">
      <c r="A1809" s="8"/>
    </row>
    <row r="1810" spans="1:1" x14ac:dyDescent="0.25">
      <c r="A1810" s="8"/>
    </row>
    <row r="1811" spans="1:1" x14ac:dyDescent="0.25">
      <c r="A1811" s="8"/>
    </row>
    <row r="1812" spans="1:1" x14ac:dyDescent="0.25">
      <c r="A1812" s="8"/>
    </row>
    <row r="1813" spans="1:1" x14ac:dyDescent="0.25">
      <c r="A1813" s="8"/>
    </row>
    <row r="1814" spans="1:1" x14ac:dyDescent="0.25">
      <c r="A1814" s="8"/>
    </row>
    <row r="1815" spans="1:1" x14ac:dyDescent="0.25">
      <c r="A1815" s="8"/>
    </row>
    <row r="1816" spans="1:1" x14ac:dyDescent="0.25">
      <c r="A1816" s="8"/>
    </row>
    <row r="1817" spans="1:1" x14ac:dyDescent="0.25">
      <c r="A1817" s="8"/>
    </row>
    <row r="1818" spans="1:1" x14ac:dyDescent="0.25">
      <c r="A1818" s="8"/>
    </row>
    <row r="1819" spans="1:1" x14ac:dyDescent="0.25">
      <c r="A1819" s="8"/>
    </row>
    <row r="1820" spans="1:1" x14ac:dyDescent="0.25">
      <c r="A1820" s="8"/>
    </row>
    <row r="1821" spans="1:1" x14ac:dyDescent="0.25">
      <c r="A1821" s="8"/>
    </row>
    <row r="1822" spans="1:1" x14ac:dyDescent="0.25">
      <c r="A1822" s="8"/>
    </row>
    <row r="1823" spans="1:1" x14ac:dyDescent="0.25">
      <c r="A1823" s="8"/>
    </row>
    <row r="1824" spans="1:1" x14ac:dyDescent="0.25">
      <c r="A1824" s="8"/>
    </row>
    <row r="1825" spans="1:1" x14ac:dyDescent="0.25">
      <c r="A1825" s="8"/>
    </row>
    <row r="1826" spans="1:1" x14ac:dyDescent="0.25">
      <c r="A1826" s="8"/>
    </row>
    <row r="1827" spans="1:1" x14ac:dyDescent="0.25">
      <c r="A1827" s="8"/>
    </row>
    <row r="1828" spans="1:1" x14ac:dyDescent="0.25">
      <c r="A1828" s="8"/>
    </row>
    <row r="1829" spans="1:1" x14ac:dyDescent="0.25">
      <c r="A1829" s="8"/>
    </row>
    <row r="1830" spans="1:1" x14ac:dyDescent="0.25">
      <c r="A1830" s="8"/>
    </row>
    <row r="1831" spans="1:1" x14ac:dyDescent="0.25">
      <c r="A1831" s="8"/>
    </row>
    <row r="1832" spans="1:1" x14ac:dyDescent="0.25">
      <c r="A1832" s="8"/>
    </row>
    <row r="1833" spans="1:1" x14ac:dyDescent="0.25">
      <c r="A1833" s="8"/>
    </row>
    <row r="1834" spans="1:1" x14ac:dyDescent="0.25">
      <c r="A1834" s="8"/>
    </row>
    <row r="1835" spans="1:1" x14ac:dyDescent="0.25">
      <c r="A1835" s="8"/>
    </row>
    <row r="1836" spans="1:1" x14ac:dyDescent="0.25">
      <c r="A1836" s="8"/>
    </row>
    <row r="1837" spans="1:1" x14ac:dyDescent="0.25">
      <c r="A1837" s="8"/>
    </row>
    <row r="1838" spans="1:1" x14ac:dyDescent="0.25">
      <c r="A1838" s="8"/>
    </row>
    <row r="1839" spans="1:1" x14ac:dyDescent="0.25">
      <c r="A1839" s="8"/>
    </row>
    <row r="1840" spans="1:1" x14ac:dyDescent="0.25">
      <c r="A1840" s="8"/>
    </row>
    <row r="1841" spans="1:1" x14ac:dyDescent="0.25">
      <c r="A1841" s="8"/>
    </row>
    <row r="1842" spans="1:1" x14ac:dyDescent="0.25">
      <c r="A1842" s="8"/>
    </row>
    <row r="1843" spans="1:1" x14ac:dyDescent="0.25">
      <c r="A1843" s="8"/>
    </row>
    <row r="1844" spans="1:1" x14ac:dyDescent="0.25">
      <c r="A1844" s="8"/>
    </row>
    <row r="1845" spans="1:1" x14ac:dyDescent="0.25">
      <c r="A1845" s="8"/>
    </row>
    <row r="1846" spans="1:1" x14ac:dyDescent="0.25">
      <c r="A1846" s="8"/>
    </row>
    <row r="1847" spans="1:1" x14ac:dyDescent="0.25">
      <c r="A1847" s="8"/>
    </row>
    <row r="1848" spans="1:1" x14ac:dyDescent="0.25">
      <c r="A1848" s="8"/>
    </row>
    <row r="1849" spans="1:1" x14ac:dyDescent="0.25">
      <c r="A1849" s="8"/>
    </row>
    <row r="1850" spans="1:1" x14ac:dyDescent="0.25">
      <c r="A1850" s="8"/>
    </row>
    <row r="1851" spans="1:1" x14ac:dyDescent="0.25">
      <c r="A1851" s="8"/>
    </row>
    <row r="1852" spans="1:1" x14ac:dyDescent="0.25">
      <c r="A1852" s="8"/>
    </row>
    <row r="1853" spans="1:1" x14ac:dyDescent="0.25">
      <c r="A1853" s="8"/>
    </row>
    <row r="1854" spans="1:1" x14ac:dyDescent="0.25">
      <c r="A1854" s="8"/>
    </row>
    <row r="1855" spans="1:1" x14ac:dyDescent="0.25">
      <c r="A1855" s="8"/>
    </row>
    <row r="1856" spans="1:1" x14ac:dyDescent="0.25">
      <c r="A1856" s="8"/>
    </row>
    <row r="1857" spans="1:1" x14ac:dyDescent="0.25">
      <c r="A1857" s="8"/>
    </row>
    <row r="1858" spans="1:1" x14ac:dyDescent="0.25">
      <c r="A1858" s="8"/>
    </row>
    <row r="1859" spans="1:1" x14ac:dyDescent="0.25">
      <c r="A1859" s="8"/>
    </row>
    <row r="1860" spans="1:1" x14ac:dyDescent="0.25">
      <c r="A1860" s="8"/>
    </row>
    <row r="1861" spans="1:1" x14ac:dyDescent="0.25">
      <c r="A1861" s="8"/>
    </row>
    <row r="1862" spans="1:1" x14ac:dyDescent="0.25">
      <c r="A1862" s="8"/>
    </row>
    <row r="1863" spans="1:1" x14ac:dyDescent="0.25">
      <c r="A1863" s="8"/>
    </row>
    <row r="1864" spans="1:1" x14ac:dyDescent="0.25">
      <c r="A1864" s="8"/>
    </row>
    <row r="1865" spans="1:1" x14ac:dyDescent="0.25">
      <c r="A1865" s="8"/>
    </row>
    <row r="1866" spans="1:1" x14ac:dyDescent="0.25">
      <c r="A1866" s="8"/>
    </row>
    <row r="1867" spans="1:1" x14ac:dyDescent="0.25">
      <c r="A1867" s="8"/>
    </row>
    <row r="1868" spans="1:1" x14ac:dyDescent="0.25">
      <c r="A1868" s="8"/>
    </row>
    <row r="1869" spans="1:1" x14ac:dyDescent="0.25">
      <c r="A1869" s="8"/>
    </row>
    <row r="1870" spans="1:1" x14ac:dyDescent="0.25">
      <c r="A1870" s="8"/>
    </row>
    <row r="1871" spans="1:1" x14ac:dyDescent="0.25">
      <c r="A1871" s="8"/>
    </row>
    <row r="1872" spans="1:1" x14ac:dyDescent="0.25">
      <c r="A1872" s="8"/>
    </row>
    <row r="1873" spans="1:1" x14ac:dyDescent="0.25">
      <c r="A1873" s="8"/>
    </row>
    <row r="1874" spans="1:1" x14ac:dyDescent="0.25">
      <c r="A1874" s="8"/>
    </row>
    <row r="1875" spans="1:1" x14ac:dyDescent="0.25">
      <c r="A1875" s="8"/>
    </row>
    <row r="1876" spans="1:1" x14ac:dyDescent="0.25">
      <c r="A1876" s="8"/>
    </row>
    <row r="1877" spans="1:1" x14ac:dyDescent="0.25">
      <c r="A1877" s="8"/>
    </row>
    <row r="1878" spans="1:1" x14ac:dyDescent="0.25">
      <c r="A1878" s="8"/>
    </row>
    <row r="1879" spans="1:1" x14ac:dyDescent="0.25">
      <c r="A1879" s="8"/>
    </row>
    <row r="1880" spans="1:1" x14ac:dyDescent="0.25">
      <c r="A1880" s="8"/>
    </row>
    <row r="1881" spans="1:1" x14ac:dyDescent="0.25">
      <c r="A1881" s="8"/>
    </row>
    <row r="1882" spans="1:1" x14ac:dyDescent="0.25">
      <c r="A1882" s="8"/>
    </row>
    <row r="1883" spans="1:1" x14ac:dyDescent="0.25">
      <c r="A1883" s="8"/>
    </row>
    <row r="1884" spans="1:1" x14ac:dyDescent="0.25">
      <c r="A1884" s="8"/>
    </row>
    <row r="1885" spans="1:1" x14ac:dyDescent="0.25">
      <c r="A1885" s="8"/>
    </row>
    <row r="1886" spans="1:1" x14ac:dyDescent="0.25">
      <c r="A1886" s="8"/>
    </row>
    <row r="1887" spans="1:1" x14ac:dyDescent="0.25">
      <c r="A1887" s="8"/>
    </row>
    <row r="1888" spans="1:1" x14ac:dyDescent="0.25">
      <c r="A1888" s="8"/>
    </row>
    <row r="1889" spans="1:1" x14ac:dyDescent="0.25">
      <c r="A1889" s="8"/>
    </row>
    <row r="1890" spans="1:1" x14ac:dyDescent="0.25">
      <c r="A1890" s="8"/>
    </row>
    <row r="1891" spans="1:1" x14ac:dyDescent="0.25">
      <c r="A1891" s="8"/>
    </row>
    <row r="1892" spans="1:1" x14ac:dyDescent="0.25">
      <c r="A1892" s="8"/>
    </row>
    <row r="1893" spans="1:1" x14ac:dyDescent="0.25">
      <c r="A1893" s="8"/>
    </row>
    <row r="1894" spans="1:1" x14ac:dyDescent="0.25">
      <c r="A1894" s="8"/>
    </row>
    <row r="1895" spans="1:1" x14ac:dyDescent="0.25">
      <c r="A1895" s="8"/>
    </row>
    <row r="1896" spans="1:1" x14ac:dyDescent="0.25">
      <c r="A1896" s="8"/>
    </row>
    <row r="1897" spans="1:1" x14ac:dyDescent="0.25">
      <c r="A1897" s="8"/>
    </row>
    <row r="1898" spans="1:1" x14ac:dyDescent="0.25">
      <c r="A1898" s="8"/>
    </row>
    <row r="1899" spans="1:1" x14ac:dyDescent="0.25">
      <c r="A1899" s="8"/>
    </row>
    <row r="1900" spans="1:1" x14ac:dyDescent="0.25">
      <c r="A1900" s="8"/>
    </row>
    <row r="1901" spans="1:1" x14ac:dyDescent="0.25">
      <c r="A1901" s="8"/>
    </row>
    <row r="1902" spans="1:1" x14ac:dyDescent="0.25">
      <c r="A1902" s="8"/>
    </row>
    <row r="1903" spans="1:1" x14ac:dyDescent="0.25">
      <c r="A1903" s="8"/>
    </row>
    <row r="1904" spans="1:1" x14ac:dyDescent="0.25">
      <c r="A1904" s="8"/>
    </row>
    <row r="1905" spans="1:1" x14ac:dyDescent="0.25">
      <c r="A1905" s="8"/>
    </row>
    <row r="1906" spans="1:1" x14ac:dyDescent="0.25">
      <c r="A1906" s="8"/>
    </row>
    <row r="1907" spans="1:1" x14ac:dyDescent="0.25">
      <c r="A1907" s="8"/>
    </row>
    <row r="1908" spans="1:1" x14ac:dyDescent="0.25">
      <c r="A1908" s="8"/>
    </row>
    <row r="1909" spans="1:1" x14ac:dyDescent="0.25">
      <c r="A1909" s="8"/>
    </row>
    <row r="1910" spans="1:1" x14ac:dyDescent="0.25">
      <c r="A1910" s="8"/>
    </row>
    <row r="1911" spans="1:1" x14ac:dyDescent="0.25">
      <c r="A1911" s="8"/>
    </row>
    <row r="1912" spans="1:1" x14ac:dyDescent="0.25">
      <c r="A1912" s="8"/>
    </row>
    <row r="1913" spans="1:1" x14ac:dyDescent="0.25">
      <c r="A1913" s="8"/>
    </row>
    <row r="1914" spans="1:1" x14ac:dyDescent="0.25">
      <c r="A1914" s="8"/>
    </row>
    <row r="1915" spans="1:1" x14ac:dyDescent="0.25">
      <c r="A1915" s="8"/>
    </row>
    <row r="1916" spans="1:1" x14ac:dyDescent="0.25">
      <c r="A1916" s="8"/>
    </row>
    <row r="1917" spans="1:1" x14ac:dyDescent="0.25">
      <c r="A1917" s="8"/>
    </row>
    <row r="1918" spans="1:1" x14ac:dyDescent="0.25">
      <c r="A1918" s="8"/>
    </row>
    <row r="1919" spans="1:1" x14ac:dyDescent="0.25">
      <c r="A1919" s="8"/>
    </row>
    <row r="1920" spans="1:1" x14ac:dyDescent="0.25">
      <c r="A1920" s="8"/>
    </row>
    <row r="1921" spans="1:1" x14ac:dyDescent="0.25">
      <c r="A1921" s="8"/>
    </row>
    <row r="1922" spans="1:1" x14ac:dyDescent="0.25">
      <c r="A1922" s="8"/>
    </row>
    <row r="1923" spans="1:1" x14ac:dyDescent="0.25">
      <c r="A1923" s="8"/>
    </row>
    <row r="1924" spans="1:1" x14ac:dyDescent="0.25">
      <c r="A1924" s="8"/>
    </row>
    <row r="1925" spans="1:1" x14ac:dyDescent="0.25">
      <c r="A1925" s="8"/>
    </row>
    <row r="1926" spans="1:1" x14ac:dyDescent="0.25">
      <c r="A1926" s="8"/>
    </row>
    <row r="1927" spans="1:1" x14ac:dyDescent="0.25">
      <c r="A1927" s="8"/>
    </row>
    <row r="1928" spans="1:1" x14ac:dyDescent="0.25">
      <c r="A1928" s="8"/>
    </row>
    <row r="1929" spans="1:1" x14ac:dyDescent="0.25">
      <c r="A1929" s="8"/>
    </row>
    <row r="1930" spans="1:1" x14ac:dyDescent="0.25">
      <c r="A1930" s="8"/>
    </row>
    <row r="1931" spans="1:1" x14ac:dyDescent="0.25">
      <c r="A1931" s="8"/>
    </row>
    <row r="1932" spans="1:1" x14ac:dyDescent="0.25">
      <c r="A1932" s="8"/>
    </row>
    <row r="1933" spans="1:1" x14ac:dyDescent="0.25">
      <c r="A1933" s="8"/>
    </row>
    <row r="1934" spans="1:1" x14ac:dyDescent="0.25">
      <c r="A1934" s="8"/>
    </row>
    <row r="1935" spans="1:1" x14ac:dyDescent="0.25">
      <c r="A1935" s="8"/>
    </row>
    <row r="1936" spans="1:1" x14ac:dyDescent="0.25">
      <c r="A1936" s="8"/>
    </row>
    <row r="1937" spans="1:1" x14ac:dyDescent="0.25">
      <c r="A1937" s="8"/>
    </row>
    <row r="1938" spans="1:1" x14ac:dyDescent="0.25">
      <c r="A1938" s="8"/>
    </row>
    <row r="1939" spans="1:1" x14ac:dyDescent="0.25">
      <c r="A1939" s="8"/>
    </row>
    <row r="1940" spans="1:1" x14ac:dyDescent="0.25">
      <c r="A1940" s="8"/>
    </row>
    <row r="1941" spans="1:1" x14ac:dyDescent="0.25">
      <c r="A1941" s="8"/>
    </row>
    <row r="1942" spans="1:1" x14ac:dyDescent="0.25">
      <c r="A1942" s="8"/>
    </row>
    <row r="1943" spans="1:1" x14ac:dyDescent="0.25">
      <c r="A1943" s="8"/>
    </row>
    <row r="1944" spans="1:1" x14ac:dyDescent="0.25">
      <c r="A1944" s="8"/>
    </row>
    <row r="1945" spans="1:1" x14ac:dyDescent="0.25">
      <c r="A1945" s="8"/>
    </row>
    <row r="1946" spans="1:1" x14ac:dyDescent="0.25">
      <c r="A1946" s="8"/>
    </row>
    <row r="1947" spans="1:1" x14ac:dyDescent="0.25">
      <c r="A1947" s="8"/>
    </row>
    <row r="1948" spans="1:1" x14ac:dyDescent="0.25">
      <c r="A1948" s="8"/>
    </row>
    <row r="1949" spans="1:1" x14ac:dyDescent="0.25">
      <c r="A1949" s="8"/>
    </row>
    <row r="1950" spans="1:1" x14ac:dyDescent="0.25">
      <c r="A1950" s="8"/>
    </row>
    <row r="1951" spans="1:1" x14ac:dyDescent="0.25">
      <c r="A1951" s="8"/>
    </row>
    <row r="1952" spans="1:1" x14ac:dyDescent="0.25">
      <c r="A1952" s="8"/>
    </row>
    <row r="1953" spans="1:1" x14ac:dyDescent="0.25">
      <c r="A1953" s="8"/>
    </row>
    <row r="1954" spans="1:1" x14ac:dyDescent="0.25">
      <c r="A1954" s="8"/>
    </row>
    <row r="1955" spans="1:1" x14ac:dyDescent="0.25">
      <c r="A1955" s="8"/>
    </row>
    <row r="1956" spans="1:1" x14ac:dyDescent="0.25">
      <c r="A1956" s="8"/>
    </row>
    <row r="1957" spans="1:1" x14ac:dyDescent="0.25">
      <c r="A1957" s="8"/>
    </row>
    <row r="1958" spans="1:1" x14ac:dyDescent="0.25">
      <c r="A1958" s="8"/>
    </row>
    <row r="1959" spans="1:1" x14ac:dyDescent="0.25">
      <c r="A1959" s="8"/>
    </row>
    <row r="1960" spans="1:1" x14ac:dyDescent="0.25">
      <c r="A1960" s="8"/>
    </row>
    <row r="1961" spans="1:1" x14ac:dyDescent="0.25">
      <c r="A1961" s="8"/>
    </row>
    <row r="1962" spans="1:1" x14ac:dyDescent="0.25">
      <c r="A1962" s="8"/>
    </row>
    <row r="1963" spans="1:1" x14ac:dyDescent="0.25">
      <c r="A1963" s="8"/>
    </row>
    <row r="1964" spans="1:1" x14ac:dyDescent="0.25">
      <c r="A1964" s="8"/>
    </row>
    <row r="1965" spans="1:1" x14ac:dyDescent="0.25">
      <c r="A1965" s="8"/>
    </row>
    <row r="1966" spans="1:1" x14ac:dyDescent="0.25">
      <c r="A1966" s="8"/>
    </row>
    <row r="1967" spans="1:1" x14ac:dyDescent="0.25">
      <c r="A1967" s="8"/>
    </row>
    <row r="1968" spans="1:1" x14ac:dyDescent="0.25">
      <c r="A1968" s="8"/>
    </row>
    <row r="1969" spans="1:1" x14ac:dyDescent="0.25">
      <c r="A1969" s="8"/>
    </row>
    <row r="1970" spans="1:1" x14ac:dyDescent="0.25">
      <c r="A1970" s="8"/>
    </row>
    <row r="1971" spans="1:1" x14ac:dyDescent="0.25">
      <c r="A1971" s="8"/>
    </row>
    <row r="1972" spans="1:1" x14ac:dyDescent="0.25">
      <c r="A1972" s="8"/>
    </row>
    <row r="1973" spans="1:1" x14ac:dyDescent="0.25">
      <c r="A1973" s="8"/>
    </row>
    <row r="1974" spans="1:1" x14ac:dyDescent="0.25">
      <c r="A1974" s="8"/>
    </row>
    <row r="1975" spans="1:1" x14ac:dyDescent="0.25">
      <c r="A1975" s="8"/>
    </row>
    <row r="1976" spans="1:1" x14ac:dyDescent="0.25">
      <c r="A1976" s="8"/>
    </row>
    <row r="1977" spans="1:1" x14ac:dyDescent="0.25">
      <c r="A1977" s="8"/>
    </row>
    <row r="1978" spans="1:1" x14ac:dyDescent="0.25">
      <c r="A1978" s="8"/>
    </row>
    <row r="1979" spans="1:1" x14ac:dyDescent="0.25">
      <c r="A1979" s="8"/>
    </row>
    <row r="1980" spans="1:1" x14ac:dyDescent="0.25">
      <c r="A1980" s="8"/>
    </row>
    <row r="1981" spans="1:1" x14ac:dyDescent="0.25">
      <c r="A1981" s="8"/>
    </row>
    <row r="1982" spans="1:1" x14ac:dyDescent="0.25">
      <c r="A1982" s="8"/>
    </row>
    <row r="1983" spans="1:1" x14ac:dyDescent="0.25">
      <c r="A1983" s="8"/>
    </row>
    <row r="1984" spans="1:1" x14ac:dyDescent="0.25">
      <c r="A1984" s="8"/>
    </row>
    <row r="1985" spans="1:1" x14ac:dyDescent="0.25">
      <c r="A1985" s="8"/>
    </row>
    <row r="1986" spans="1:1" x14ac:dyDescent="0.25">
      <c r="A1986" s="8"/>
    </row>
    <row r="1987" spans="1:1" x14ac:dyDescent="0.25">
      <c r="A1987" s="8"/>
    </row>
    <row r="1988" spans="1:1" x14ac:dyDescent="0.25">
      <c r="A1988" s="8"/>
    </row>
    <row r="1989" spans="1:1" x14ac:dyDescent="0.25">
      <c r="A1989" s="8"/>
    </row>
    <row r="1990" spans="1:1" x14ac:dyDescent="0.25">
      <c r="A1990" s="8"/>
    </row>
    <row r="1991" spans="1:1" x14ac:dyDescent="0.25">
      <c r="A1991" s="8"/>
    </row>
    <row r="1992" spans="1:1" x14ac:dyDescent="0.25">
      <c r="A1992" s="8"/>
    </row>
    <row r="1993" spans="1:1" x14ac:dyDescent="0.25">
      <c r="A1993" s="8"/>
    </row>
    <row r="1994" spans="1:1" x14ac:dyDescent="0.25">
      <c r="A1994" s="8"/>
    </row>
    <row r="1995" spans="1:1" x14ac:dyDescent="0.25">
      <c r="A1995" s="8"/>
    </row>
    <row r="1996" spans="1:1" x14ac:dyDescent="0.25">
      <c r="A1996" s="8"/>
    </row>
    <row r="1997" spans="1:1" x14ac:dyDescent="0.25">
      <c r="A1997" s="8"/>
    </row>
    <row r="1998" spans="1:1" x14ac:dyDescent="0.25">
      <c r="A1998" s="8"/>
    </row>
    <row r="1999" spans="1:1" x14ac:dyDescent="0.25">
      <c r="A1999" s="8"/>
    </row>
    <row r="2000" spans="1:1" x14ac:dyDescent="0.25">
      <c r="A2000" s="8"/>
    </row>
    <row r="2001" spans="1:1" x14ac:dyDescent="0.25">
      <c r="A2001" s="8"/>
    </row>
    <row r="2002" spans="1:1" x14ac:dyDescent="0.25">
      <c r="A2002" s="8"/>
    </row>
    <row r="2003" spans="1:1" x14ac:dyDescent="0.25">
      <c r="A2003" s="8"/>
    </row>
    <row r="2004" spans="1:1" x14ac:dyDescent="0.25">
      <c r="A2004" s="8"/>
    </row>
    <row r="2005" spans="1:1" x14ac:dyDescent="0.25">
      <c r="A2005" s="8"/>
    </row>
    <row r="2006" spans="1:1" x14ac:dyDescent="0.25">
      <c r="A2006" s="8"/>
    </row>
    <row r="2007" spans="1:1" x14ac:dyDescent="0.25">
      <c r="A2007" s="8"/>
    </row>
    <row r="2008" spans="1:1" x14ac:dyDescent="0.25">
      <c r="A2008" s="8"/>
    </row>
    <row r="2009" spans="1:1" x14ac:dyDescent="0.25">
      <c r="A2009" s="8"/>
    </row>
    <row r="2010" spans="1:1" x14ac:dyDescent="0.25">
      <c r="A2010" s="8"/>
    </row>
    <row r="2011" spans="1:1" x14ac:dyDescent="0.25">
      <c r="A2011" s="8"/>
    </row>
    <row r="2012" spans="1:1" x14ac:dyDescent="0.25">
      <c r="A2012" s="8"/>
    </row>
    <row r="2013" spans="1:1" x14ac:dyDescent="0.25">
      <c r="A2013" s="8"/>
    </row>
    <row r="2014" spans="1:1" x14ac:dyDescent="0.25">
      <c r="A2014" s="8"/>
    </row>
    <row r="2015" spans="1:1" x14ac:dyDescent="0.25">
      <c r="A2015" s="8"/>
    </row>
    <row r="2016" spans="1:1" x14ac:dyDescent="0.25">
      <c r="A2016" s="8"/>
    </row>
    <row r="2017" spans="1:1" x14ac:dyDescent="0.25">
      <c r="A2017" s="8"/>
    </row>
    <row r="2018" spans="1:1" x14ac:dyDescent="0.25">
      <c r="A2018" s="8"/>
    </row>
    <row r="2019" spans="1:1" x14ac:dyDescent="0.25">
      <c r="A2019" s="8"/>
    </row>
    <row r="2020" spans="1:1" x14ac:dyDescent="0.25">
      <c r="A2020" s="8"/>
    </row>
    <row r="2021" spans="1:1" x14ac:dyDescent="0.25">
      <c r="A2021" s="8"/>
    </row>
    <row r="2022" spans="1:1" x14ac:dyDescent="0.25">
      <c r="A2022" s="8"/>
    </row>
    <row r="2023" spans="1:1" x14ac:dyDescent="0.25">
      <c r="A2023" s="8"/>
    </row>
    <row r="2024" spans="1:1" x14ac:dyDescent="0.25">
      <c r="A2024" s="8"/>
    </row>
    <row r="2025" spans="1:1" x14ac:dyDescent="0.25">
      <c r="A2025" s="8"/>
    </row>
    <row r="2026" spans="1:1" x14ac:dyDescent="0.25">
      <c r="A2026" s="8"/>
    </row>
    <row r="2027" spans="1:1" x14ac:dyDescent="0.25">
      <c r="A2027" s="8"/>
    </row>
    <row r="2028" spans="1:1" x14ac:dyDescent="0.25">
      <c r="A2028" s="8"/>
    </row>
    <row r="2029" spans="1:1" x14ac:dyDescent="0.25">
      <c r="A2029" s="8"/>
    </row>
    <row r="2030" spans="1:1" x14ac:dyDescent="0.25">
      <c r="A2030" s="8"/>
    </row>
    <row r="2031" spans="1:1" x14ac:dyDescent="0.25">
      <c r="A2031" s="8"/>
    </row>
    <row r="2032" spans="1:1" x14ac:dyDescent="0.25">
      <c r="A2032" s="8"/>
    </row>
    <row r="2033" spans="1:1" x14ac:dyDescent="0.25">
      <c r="A2033" s="8"/>
    </row>
    <row r="2034" spans="1:1" x14ac:dyDescent="0.25">
      <c r="A2034" s="8"/>
    </row>
    <row r="2035" spans="1:1" x14ac:dyDescent="0.25">
      <c r="A2035" s="8"/>
    </row>
    <row r="2036" spans="1:1" x14ac:dyDescent="0.25">
      <c r="A2036" s="8"/>
    </row>
    <row r="2037" spans="1:1" x14ac:dyDescent="0.25">
      <c r="A2037" s="8"/>
    </row>
    <row r="2038" spans="1:1" x14ac:dyDescent="0.25">
      <c r="A2038" s="8"/>
    </row>
    <row r="2039" spans="1:1" x14ac:dyDescent="0.25">
      <c r="A2039" s="8"/>
    </row>
    <row r="2040" spans="1:1" x14ac:dyDescent="0.25">
      <c r="A2040" s="8"/>
    </row>
    <row r="2041" spans="1:1" x14ac:dyDescent="0.25">
      <c r="A2041" s="8"/>
    </row>
    <row r="2042" spans="1:1" x14ac:dyDescent="0.25">
      <c r="A2042" s="8"/>
    </row>
    <row r="2043" spans="1:1" x14ac:dyDescent="0.25">
      <c r="A2043" s="8"/>
    </row>
    <row r="2044" spans="1:1" x14ac:dyDescent="0.25">
      <c r="A2044" s="8"/>
    </row>
    <row r="2045" spans="1:1" x14ac:dyDescent="0.25">
      <c r="A2045" s="8"/>
    </row>
    <row r="2046" spans="1:1" x14ac:dyDescent="0.25">
      <c r="A2046" s="8"/>
    </row>
    <row r="2047" spans="1:1" x14ac:dyDescent="0.25">
      <c r="A2047" s="8"/>
    </row>
    <row r="2048" spans="1:1" x14ac:dyDescent="0.25">
      <c r="A2048" s="8"/>
    </row>
    <row r="2049" spans="1:1" x14ac:dyDescent="0.25">
      <c r="A2049" s="8"/>
    </row>
    <row r="2050" spans="1:1" x14ac:dyDescent="0.25">
      <c r="A2050" s="8"/>
    </row>
    <row r="2051" spans="1:1" x14ac:dyDescent="0.25">
      <c r="A2051" s="8"/>
    </row>
    <row r="2052" spans="1:1" x14ac:dyDescent="0.25">
      <c r="A2052" s="8"/>
    </row>
    <row r="2053" spans="1:1" x14ac:dyDescent="0.25">
      <c r="A2053" s="8"/>
    </row>
    <row r="2054" spans="1:1" x14ac:dyDescent="0.25">
      <c r="A2054" s="8"/>
    </row>
    <row r="2055" spans="1:1" x14ac:dyDescent="0.25">
      <c r="A2055" s="8"/>
    </row>
    <row r="2056" spans="1:1" x14ac:dyDescent="0.25">
      <c r="A2056" s="8"/>
    </row>
    <row r="2057" spans="1:1" x14ac:dyDescent="0.25">
      <c r="A2057" s="8"/>
    </row>
    <row r="2058" spans="1:1" x14ac:dyDescent="0.25">
      <c r="A2058" s="8"/>
    </row>
    <row r="2059" spans="1:1" x14ac:dyDescent="0.25">
      <c r="A2059" s="8"/>
    </row>
    <row r="2060" spans="1:1" x14ac:dyDescent="0.25">
      <c r="A2060" s="8"/>
    </row>
    <row r="2061" spans="1:1" x14ac:dyDescent="0.25">
      <c r="A2061" s="8"/>
    </row>
    <row r="2062" spans="1:1" x14ac:dyDescent="0.25">
      <c r="A2062" s="8"/>
    </row>
    <row r="2063" spans="1:1" x14ac:dyDescent="0.25">
      <c r="A2063" s="8"/>
    </row>
    <row r="2064" spans="1:1" x14ac:dyDescent="0.25">
      <c r="A2064" s="8"/>
    </row>
    <row r="2065" spans="1:1" x14ac:dyDescent="0.25">
      <c r="A2065" s="8"/>
    </row>
    <row r="2066" spans="1:1" x14ac:dyDescent="0.25">
      <c r="A2066" s="8"/>
    </row>
    <row r="2067" spans="1:1" x14ac:dyDescent="0.25">
      <c r="A2067" s="8"/>
    </row>
    <row r="2068" spans="1:1" x14ac:dyDescent="0.25">
      <c r="A2068" s="8"/>
    </row>
    <row r="2069" spans="1:1" x14ac:dyDescent="0.25">
      <c r="A2069" s="8"/>
    </row>
    <row r="2070" spans="1:1" x14ac:dyDescent="0.25">
      <c r="A2070" s="8"/>
    </row>
    <row r="2071" spans="1:1" x14ac:dyDescent="0.25">
      <c r="A2071" s="8"/>
    </row>
    <row r="2072" spans="1:1" x14ac:dyDescent="0.25">
      <c r="A2072" s="8"/>
    </row>
    <row r="2073" spans="1:1" x14ac:dyDescent="0.25">
      <c r="A2073" s="8"/>
    </row>
    <row r="2074" spans="1:1" x14ac:dyDescent="0.25">
      <c r="A2074" s="8"/>
    </row>
    <row r="2075" spans="1:1" x14ac:dyDescent="0.25">
      <c r="A2075" s="8"/>
    </row>
    <row r="2076" spans="1:1" x14ac:dyDescent="0.25">
      <c r="A2076" s="8"/>
    </row>
    <row r="2077" spans="1:1" x14ac:dyDescent="0.25">
      <c r="A2077" s="8"/>
    </row>
    <row r="2078" spans="1:1" x14ac:dyDescent="0.25">
      <c r="A2078" s="8"/>
    </row>
    <row r="2079" spans="1:1" x14ac:dyDescent="0.25">
      <c r="A2079" s="8"/>
    </row>
    <row r="2080" spans="1:1" x14ac:dyDescent="0.25">
      <c r="A2080" s="8"/>
    </row>
    <row r="2081" spans="1:1" x14ac:dyDescent="0.25">
      <c r="A2081" s="8"/>
    </row>
    <row r="2082" spans="1:1" x14ac:dyDescent="0.25">
      <c r="A2082" s="8"/>
    </row>
    <row r="2083" spans="1:1" x14ac:dyDescent="0.25">
      <c r="A2083" s="8"/>
    </row>
    <row r="2084" spans="1:1" x14ac:dyDescent="0.25">
      <c r="A2084" s="8"/>
    </row>
    <row r="2085" spans="1:1" x14ac:dyDescent="0.25">
      <c r="A2085" s="8"/>
    </row>
    <row r="2086" spans="1:1" x14ac:dyDescent="0.25">
      <c r="A2086" s="8"/>
    </row>
    <row r="2087" spans="1:1" x14ac:dyDescent="0.25">
      <c r="A2087" s="8"/>
    </row>
    <row r="2088" spans="1:1" x14ac:dyDescent="0.25">
      <c r="A2088" s="8"/>
    </row>
    <row r="2089" spans="1:1" x14ac:dyDescent="0.25">
      <c r="A2089" s="8"/>
    </row>
    <row r="2090" spans="1:1" x14ac:dyDescent="0.25">
      <c r="A2090" s="8"/>
    </row>
    <row r="2091" spans="1:1" x14ac:dyDescent="0.25">
      <c r="A2091" s="8"/>
    </row>
    <row r="2092" spans="1:1" x14ac:dyDescent="0.25">
      <c r="A2092" s="8"/>
    </row>
    <row r="2093" spans="1:1" x14ac:dyDescent="0.25">
      <c r="A2093" s="8"/>
    </row>
    <row r="2094" spans="1:1" x14ac:dyDescent="0.25">
      <c r="A2094" s="8"/>
    </row>
    <row r="2095" spans="1:1" x14ac:dyDescent="0.25">
      <c r="A2095" s="8"/>
    </row>
    <row r="2096" spans="1:1" x14ac:dyDescent="0.25">
      <c r="A2096" s="8"/>
    </row>
    <row r="2097" spans="1:1" x14ac:dyDescent="0.25">
      <c r="A2097" s="8"/>
    </row>
    <row r="2098" spans="1:1" x14ac:dyDescent="0.25">
      <c r="A2098" s="8"/>
    </row>
    <row r="2099" spans="1:1" x14ac:dyDescent="0.25">
      <c r="A2099" s="8"/>
    </row>
    <row r="2100" spans="1:1" x14ac:dyDescent="0.25">
      <c r="A2100" s="8"/>
    </row>
    <row r="2101" spans="1:1" x14ac:dyDescent="0.25">
      <c r="A2101" s="8"/>
    </row>
    <row r="2102" spans="1:1" x14ac:dyDescent="0.25">
      <c r="A2102" s="8"/>
    </row>
    <row r="2103" spans="1:1" x14ac:dyDescent="0.25">
      <c r="A2103" s="8"/>
    </row>
    <row r="2104" spans="1:1" x14ac:dyDescent="0.25">
      <c r="A2104" s="8"/>
    </row>
    <row r="2105" spans="1:1" x14ac:dyDescent="0.25">
      <c r="A2105" s="8"/>
    </row>
    <row r="2106" spans="1:1" x14ac:dyDescent="0.25">
      <c r="A2106" s="8"/>
    </row>
    <row r="2107" spans="1:1" x14ac:dyDescent="0.25">
      <c r="A2107" s="8"/>
    </row>
    <row r="2108" spans="1:1" x14ac:dyDescent="0.25">
      <c r="A2108" s="8"/>
    </row>
    <row r="2109" spans="1:1" x14ac:dyDescent="0.25">
      <c r="A2109" s="8"/>
    </row>
    <row r="2110" spans="1:1" x14ac:dyDescent="0.25">
      <c r="A2110" s="8"/>
    </row>
    <row r="2111" spans="1:1" x14ac:dyDescent="0.25">
      <c r="A2111" s="8"/>
    </row>
    <row r="2112" spans="1:1" x14ac:dyDescent="0.25">
      <c r="A2112" s="8"/>
    </row>
    <row r="2113" spans="1:1" x14ac:dyDescent="0.25">
      <c r="A2113" s="8"/>
    </row>
    <row r="2114" spans="1:1" x14ac:dyDescent="0.25">
      <c r="A2114" s="8"/>
    </row>
    <row r="2115" spans="1:1" x14ac:dyDescent="0.25">
      <c r="A2115" s="8"/>
    </row>
    <row r="2116" spans="1:1" x14ac:dyDescent="0.25">
      <c r="A2116" s="8"/>
    </row>
    <row r="2117" spans="1:1" x14ac:dyDescent="0.25">
      <c r="A2117" s="8"/>
    </row>
    <row r="2118" spans="1:1" x14ac:dyDescent="0.25">
      <c r="A2118" s="8"/>
    </row>
    <row r="2119" spans="1:1" x14ac:dyDescent="0.25">
      <c r="A2119" s="8"/>
    </row>
    <row r="2120" spans="1:1" x14ac:dyDescent="0.25">
      <c r="A2120" s="8"/>
    </row>
    <row r="2121" spans="1:1" x14ac:dyDescent="0.25">
      <c r="A2121" s="8"/>
    </row>
    <row r="2122" spans="1:1" x14ac:dyDescent="0.25">
      <c r="A2122" s="8"/>
    </row>
    <row r="2123" spans="1:1" x14ac:dyDescent="0.25">
      <c r="A2123" s="8"/>
    </row>
    <row r="2124" spans="1:1" x14ac:dyDescent="0.25">
      <c r="A2124" s="8"/>
    </row>
    <row r="2125" spans="1:1" x14ac:dyDescent="0.25">
      <c r="A2125" s="8"/>
    </row>
    <row r="2126" spans="1:1" x14ac:dyDescent="0.25">
      <c r="A2126" s="8"/>
    </row>
    <row r="2127" spans="1:1" x14ac:dyDescent="0.25">
      <c r="A2127" s="8"/>
    </row>
    <row r="2128" spans="1:1" x14ac:dyDescent="0.25">
      <c r="A2128" s="8"/>
    </row>
    <row r="2129" spans="1:1" x14ac:dyDescent="0.25">
      <c r="A2129" s="8"/>
    </row>
    <row r="2130" spans="1:1" x14ac:dyDescent="0.25">
      <c r="A2130" s="8"/>
    </row>
    <row r="2131" spans="1:1" x14ac:dyDescent="0.25">
      <c r="A2131" s="8"/>
    </row>
    <row r="2132" spans="1:1" x14ac:dyDescent="0.25">
      <c r="A2132" s="8"/>
    </row>
    <row r="2133" spans="1:1" x14ac:dyDescent="0.25">
      <c r="A2133" s="8"/>
    </row>
    <row r="2134" spans="1:1" x14ac:dyDescent="0.25">
      <c r="A2134" s="8"/>
    </row>
    <row r="2135" spans="1:1" x14ac:dyDescent="0.25">
      <c r="A2135" s="8"/>
    </row>
    <row r="2136" spans="1:1" x14ac:dyDescent="0.25">
      <c r="A2136" s="8"/>
    </row>
    <row r="2137" spans="1:1" x14ac:dyDescent="0.25">
      <c r="A2137" s="8"/>
    </row>
    <row r="2138" spans="1:1" x14ac:dyDescent="0.25">
      <c r="A2138" s="8"/>
    </row>
    <row r="2139" spans="1:1" x14ac:dyDescent="0.25">
      <c r="A2139" s="8"/>
    </row>
    <row r="2140" spans="1:1" x14ac:dyDescent="0.25">
      <c r="A2140" s="8"/>
    </row>
    <row r="2141" spans="1:1" x14ac:dyDescent="0.25">
      <c r="A2141" s="8"/>
    </row>
    <row r="2142" spans="1:1" x14ac:dyDescent="0.25">
      <c r="A2142" s="8"/>
    </row>
    <row r="2143" spans="1:1" x14ac:dyDescent="0.25">
      <c r="A2143" s="8"/>
    </row>
    <row r="2144" spans="1:1" x14ac:dyDescent="0.25">
      <c r="A2144" s="8"/>
    </row>
    <row r="2145" spans="1:1" x14ac:dyDescent="0.25">
      <c r="A2145" s="8"/>
    </row>
    <row r="2146" spans="1:1" x14ac:dyDescent="0.25">
      <c r="A2146" s="8"/>
    </row>
    <row r="2147" spans="1:1" x14ac:dyDescent="0.25">
      <c r="A2147" s="8"/>
    </row>
    <row r="2148" spans="1:1" x14ac:dyDescent="0.25">
      <c r="A2148" s="8"/>
    </row>
    <row r="2149" spans="1:1" x14ac:dyDescent="0.25">
      <c r="A2149" s="8"/>
    </row>
    <row r="2150" spans="1:1" x14ac:dyDescent="0.25">
      <c r="A2150" s="8"/>
    </row>
    <row r="2151" spans="1:1" x14ac:dyDescent="0.25">
      <c r="A2151" s="8"/>
    </row>
    <row r="2152" spans="1:1" x14ac:dyDescent="0.25">
      <c r="A2152" s="8"/>
    </row>
    <row r="2153" spans="1:1" x14ac:dyDescent="0.25">
      <c r="A2153" s="8"/>
    </row>
    <row r="2154" spans="1:1" x14ac:dyDescent="0.25">
      <c r="A2154" s="8"/>
    </row>
    <row r="2155" spans="1:1" x14ac:dyDescent="0.25">
      <c r="A2155" s="8"/>
    </row>
    <row r="2156" spans="1:1" x14ac:dyDescent="0.25">
      <c r="A2156" s="8"/>
    </row>
    <row r="2157" spans="1:1" x14ac:dyDescent="0.25">
      <c r="A2157" s="8"/>
    </row>
    <row r="2158" spans="1:1" x14ac:dyDescent="0.25">
      <c r="A2158" s="8"/>
    </row>
    <row r="2159" spans="1:1" x14ac:dyDescent="0.25">
      <c r="A2159" s="8"/>
    </row>
    <row r="2160" spans="1:1" x14ac:dyDescent="0.25">
      <c r="A2160" s="8"/>
    </row>
    <row r="2161" spans="1:1" x14ac:dyDescent="0.25">
      <c r="A2161" s="8"/>
    </row>
    <row r="2162" spans="1:1" x14ac:dyDescent="0.25">
      <c r="A2162" s="8"/>
    </row>
    <row r="2163" spans="1:1" x14ac:dyDescent="0.25">
      <c r="A2163" s="8"/>
    </row>
    <row r="2164" spans="1:1" x14ac:dyDescent="0.25">
      <c r="A2164" s="8"/>
    </row>
    <row r="2165" spans="1:1" x14ac:dyDescent="0.25">
      <c r="A2165" s="8"/>
    </row>
    <row r="2166" spans="1:1" x14ac:dyDescent="0.25">
      <c r="A2166" s="8"/>
    </row>
    <row r="2167" spans="1:1" x14ac:dyDescent="0.25">
      <c r="A2167" s="8"/>
    </row>
    <row r="2168" spans="1:1" x14ac:dyDescent="0.25">
      <c r="A2168" s="8"/>
    </row>
    <row r="2169" spans="1:1" x14ac:dyDescent="0.25">
      <c r="A2169" s="8"/>
    </row>
    <row r="2170" spans="1:1" x14ac:dyDescent="0.25">
      <c r="A2170" s="8"/>
    </row>
    <row r="2171" spans="1:1" x14ac:dyDescent="0.25">
      <c r="A2171" s="8"/>
    </row>
    <row r="2172" spans="1:1" x14ac:dyDescent="0.25">
      <c r="A2172" s="8"/>
    </row>
    <row r="2173" spans="1:1" x14ac:dyDescent="0.25">
      <c r="A2173" s="8"/>
    </row>
    <row r="2174" spans="1:1" x14ac:dyDescent="0.25">
      <c r="A2174" s="8"/>
    </row>
    <row r="2175" spans="1:1" x14ac:dyDescent="0.25">
      <c r="A2175" s="8"/>
    </row>
    <row r="2176" spans="1:1" x14ac:dyDescent="0.25">
      <c r="A2176" s="8"/>
    </row>
    <row r="2177" spans="1:1" x14ac:dyDescent="0.25">
      <c r="A2177" s="8"/>
    </row>
    <row r="2178" spans="1:1" x14ac:dyDescent="0.25">
      <c r="A2178" s="8"/>
    </row>
    <row r="2179" spans="1:1" x14ac:dyDescent="0.25">
      <c r="A2179" s="8"/>
    </row>
    <row r="2180" spans="1:1" x14ac:dyDescent="0.25">
      <c r="A2180" s="8"/>
    </row>
    <row r="2181" spans="1:1" x14ac:dyDescent="0.25">
      <c r="A2181" s="8"/>
    </row>
    <row r="2182" spans="1:1" x14ac:dyDescent="0.25">
      <c r="A2182" s="8"/>
    </row>
    <row r="2183" spans="1:1" x14ac:dyDescent="0.25">
      <c r="A2183" s="8"/>
    </row>
    <row r="2184" spans="1:1" x14ac:dyDescent="0.25">
      <c r="A2184" s="8"/>
    </row>
    <row r="2185" spans="1:1" x14ac:dyDescent="0.25">
      <c r="A2185" s="8"/>
    </row>
    <row r="2186" spans="1:1" x14ac:dyDescent="0.25">
      <c r="A2186" s="8"/>
    </row>
    <row r="2187" spans="1:1" x14ac:dyDescent="0.25">
      <c r="A2187" s="8"/>
    </row>
    <row r="2188" spans="1:1" x14ac:dyDescent="0.25">
      <c r="A2188" s="8"/>
    </row>
    <row r="2189" spans="1:1" x14ac:dyDescent="0.25">
      <c r="A2189" s="8"/>
    </row>
    <row r="2190" spans="1:1" x14ac:dyDescent="0.25">
      <c r="A2190" s="8"/>
    </row>
    <row r="2191" spans="1:1" x14ac:dyDescent="0.25">
      <c r="A2191" s="8"/>
    </row>
    <row r="2192" spans="1:1" x14ac:dyDescent="0.25">
      <c r="A2192" s="8"/>
    </row>
    <row r="2193" spans="1:1" x14ac:dyDescent="0.25">
      <c r="A2193" s="8"/>
    </row>
    <row r="2194" spans="1:1" x14ac:dyDescent="0.25">
      <c r="A2194" s="8"/>
    </row>
    <row r="2195" spans="1:1" x14ac:dyDescent="0.25">
      <c r="A2195" s="8"/>
    </row>
    <row r="2196" spans="1:1" x14ac:dyDescent="0.25">
      <c r="A2196" s="8"/>
    </row>
    <row r="2197" spans="1:1" x14ac:dyDescent="0.25">
      <c r="A2197" s="8"/>
    </row>
    <row r="2198" spans="1:1" x14ac:dyDescent="0.25">
      <c r="A2198" s="8"/>
    </row>
    <row r="2199" spans="1:1" x14ac:dyDescent="0.25">
      <c r="A2199" s="8"/>
    </row>
    <row r="2200" spans="1:1" x14ac:dyDescent="0.25">
      <c r="A2200" s="8"/>
    </row>
    <row r="2201" spans="1:1" x14ac:dyDescent="0.25">
      <c r="A2201" s="8"/>
    </row>
    <row r="2202" spans="1:1" x14ac:dyDescent="0.25">
      <c r="A2202" s="8"/>
    </row>
    <row r="2203" spans="1:1" x14ac:dyDescent="0.25">
      <c r="A2203" s="8"/>
    </row>
    <row r="2204" spans="1:1" x14ac:dyDescent="0.25">
      <c r="A2204" s="8"/>
    </row>
    <row r="2205" spans="1:1" x14ac:dyDescent="0.25">
      <c r="A2205" s="8"/>
    </row>
    <row r="2206" spans="1:1" x14ac:dyDescent="0.25">
      <c r="A2206" s="8"/>
    </row>
    <row r="2207" spans="1:1" x14ac:dyDescent="0.25">
      <c r="A2207" s="8"/>
    </row>
    <row r="2208" spans="1:1" x14ac:dyDescent="0.25">
      <c r="A2208" s="8"/>
    </row>
    <row r="2209" spans="1:1" x14ac:dyDescent="0.25">
      <c r="A2209" s="8"/>
    </row>
    <row r="2210" spans="1:1" x14ac:dyDescent="0.25">
      <c r="A2210" s="8"/>
    </row>
    <row r="2211" spans="1:1" x14ac:dyDescent="0.25">
      <c r="A2211" s="8"/>
    </row>
    <row r="2212" spans="1:1" x14ac:dyDescent="0.25">
      <c r="A2212" s="8"/>
    </row>
    <row r="2213" spans="1:1" x14ac:dyDescent="0.25">
      <c r="A2213" s="8"/>
    </row>
    <row r="2214" spans="1:1" x14ac:dyDescent="0.25">
      <c r="A2214" s="8"/>
    </row>
    <row r="2215" spans="1:1" x14ac:dyDescent="0.25">
      <c r="A2215" s="8"/>
    </row>
    <row r="2216" spans="1:1" x14ac:dyDescent="0.25">
      <c r="A2216" s="8"/>
    </row>
    <row r="2217" spans="1:1" x14ac:dyDescent="0.25">
      <c r="A2217" s="8"/>
    </row>
    <row r="2218" spans="1:1" x14ac:dyDescent="0.25">
      <c r="A2218" s="8"/>
    </row>
    <row r="2219" spans="1:1" x14ac:dyDescent="0.25">
      <c r="A2219" s="8"/>
    </row>
    <row r="2220" spans="1:1" x14ac:dyDescent="0.25">
      <c r="A2220" s="8"/>
    </row>
    <row r="2221" spans="1:1" x14ac:dyDescent="0.25">
      <c r="A2221" s="8"/>
    </row>
    <row r="2222" spans="1:1" x14ac:dyDescent="0.25">
      <c r="A2222" s="8"/>
    </row>
    <row r="2223" spans="1:1" x14ac:dyDescent="0.25">
      <c r="A2223" s="8"/>
    </row>
    <row r="2224" spans="1:1" x14ac:dyDescent="0.25">
      <c r="A2224" s="8"/>
    </row>
    <row r="2225" spans="1:1" x14ac:dyDescent="0.25">
      <c r="A2225" s="8"/>
    </row>
    <row r="2226" spans="1:1" x14ac:dyDescent="0.25">
      <c r="A2226" s="8"/>
    </row>
    <row r="2227" spans="1:1" x14ac:dyDescent="0.25">
      <c r="A2227" s="8"/>
    </row>
    <row r="2228" spans="1:1" x14ac:dyDescent="0.25">
      <c r="A2228" s="8"/>
    </row>
    <row r="2229" spans="1:1" x14ac:dyDescent="0.25">
      <c r="A2229" s="8"/>
    </row>
    <row r="2230" spans="1:1" x14ac:dyDescent="0.25">
      <c r="A2230" s="8"/>
    </row>
    <row r="2231" spans="1:1" x14ac:dyDescent="0.25">
      <c r="A2231" s="8"/>
    </row>
    <row r="2232" spans="1:1" x14ac:dyDescent="0.25">
      <c r="A2232" s="8"/>
    </row>
    <row r="2233" spans="1:1" x14ac:dyDescent="0.25">
      <c r="A2233" s="8"/>
    </row>
    <row r="2234" spans="1:1" x14ac:dyDescent="0.25">
      <c r="A2234" s="8"/>
    </row>
    <row r="2235" spans="1:1" x14ac:dyDescent="0.25">
      <c r="A2235" s="8"/>
    </row>
    <row r="2236" spans="1:1" x14ac:dyDescent="0.25">
      <c r="A2236" s="8"/>
    </row>
    <row r="2237" spans="1:1" x14ac:dyDescent="0.25">
      <c r="A2237" s="8"/>
    </row>
    <row r="2238" spans="1:1" x14ac:dyDescent="0.25">
      <c r="A2238" s="8"/>
    </row>
    <row r="2239" spans="1:1" x14ac:dyDescent="0.25">
      <c r="A2239" s="8"/>
    </row>
    <row r="2240" spans="1:1" x14ac:dyDescent="0.25">
      <c r="A2240" s="8"/>
    </row>
    <row r="2241" spans="1:1" x14ac:dyDescent="0.25">
      <c r="A2241" s="8"/>
    </row>
    <row r="2242" spans="1:1" x14ac:dyDescent="0.25">
      <c r="A2242" s="8"/>
    </row>
    <row r="2243" spans="1:1" x14ac:dyDescent="0.25">
      <c r="A2243" s="8"/>
    </row>
    <row r="2244" spans="1:1" x14ac:dyDescent="0.25">
      <c r="A2244" s="8"/>
    </row>
    <row r="2245" spans="1:1" x14ac:dyDescent="0.25">
      <c r="A2245" s="8"/>
    </row>
    <row r="2246" spans="1:1" x14ac:dyDescent="0.25">
      <c r="A2246" s="8"/>
    </row>
    <row r="2247" spans="1:1" x14ac:dyDescent="0.25">
      <c r="A2247" s="8"/>
    </row>
    <row r="2248" spans="1:1" x14ac:dyDescent="0.25">
      <c r="A2248" s="8"/>
    </row>
    <row r="2249" spans="1:1" x14ac:dyDescent="0.25">
      <c r="A2249" s="8"/>
    </row>
    <row r="2250" spans="1:1" x14ac:dyDescent="0.25">
      <c r="A2250" s="8"/>
    </row>
    <row r="2251" spans="1:1" x14ac:dyDescent="0.25">
      <c r="A2251" s="8"/>
    </row>
    <row r="2252" spans="1:1" x14ac:dyDescent="0.25">
      <c r="A2252" s="8"/>
    </row>
    <row r="2253" spans="1:1" x14ac:dyDescent="0.25">
      <c r="A2253" s="8"/>
    </row>
    <row r="2254" spans="1:1" x14ac:dyDescent="0.25">
      <c r="A2254" s="8"/>
    </row>
    <row r="2255" spans="1:1" x14ac:dyDescent="0.25">
      <c r="A2255" s="8"/>
    </row>
    <row r="2256" spans="1:1" x14ac:dyDescent="0.25">
      <c r="A2256" s="8"/>
    </row>
    <row r="2257" spans="1:1" x14ac:dyDescent="0.25">
      <c r="A2257" s="8"/>
    </row>
    <row r="2258" spans="1:1" x14ac:dyDescent="0.25">
      <c r="A2258" s="8"/>
    </row>
    <row r="2259" spans="1:1" x14ac:dyDescent="0.25">
      <c r="A2259" s="8"/>
    </row>
    <row r="2260" spans="1:1" x14ac:dyDescent="0.25">
      <c r="A2260" s="8"/>
    </row>
    <row r="2261" spans="1:1" x14ac:dyDescent="0.25">
      <c r="A2261" s="8"/>
    </row>
    <row r="2262" spans="1:1" x14ac:dyDescent="0.25">
      <c r="A2262" s="8"/>
    </row>
    <row r="2263" spans="1:1" x14ac:dyDescent="0.25">
      <c r="A2263" s="8"/>
    </row>
    <row r="2264" spans="1:1" x14ac:dyDescent="0.25">
      <c r="A2264" s="8"/>
    </row>
    <row r="2265" spans="1:1" x14ac:dyDescent="0.25">
      <c r="A2265" s="8"/>
    </row>
    <row r="2266" spans="1:1" x14ac:dyDescent="0.25">
      <c r="A2266" s="8"/>
    </row>
    <row r="2267" spans="1:1" x14ac:dyDescent="0.25">
      <c r="A2267" s="8"/>
    </row>
    <row r="2268" spans="1:1" x14ac:dyDescent="0.25">
      <c r="A2268" s="8"/>
    </row>
    <row r="2269" spans="1:1" x14ac:dyDescent="0.25">
      <c r="A2269" s="8"/>
    </row>
    <row r="2270" spans="1:1" x14ac:dyDescent="0.25">
      <c r="A2270" s="8"/>
    </row>
    <row r="2271" spans="1:1" x14ac:dyDescent="0.25">
      <c r="A2271" s="8"/>
    </row>
    <row r="2272" spans="1:1" x14ac:dyDescent="0.25">
      <c r="A2272" s="8"/>
    </row>
    <row r="2273" spans="1:1" x14ac:dyDescent="0.25">
      <c r="A2273" s="8"/>
    </row>
    <row r="2274" spans="1:1" x14ac:dyDescent="0.25">
      <c r="A2274" s="8"/>
    </row>
    <row r="2275" spans="1:1" x14ac:dyDescent="0.25">
      <c r="A2275" s="8"/>
    </row>
    <row r="2276" spans="1:1" x14ac:dyDescent="0.25">
      <c r="A2276" s="8"/>
    </row>
    <row r="2277" spans="1:1" x14ac:dyDescent="0.25">
      <c r="A2277" s="8"/>
    </row>
    <row r="2278" spans="1:1" x14ac:dyDescent="0.25">
      <c r="A2278" s="8"/>
    </row>
    <row r="2279" spans="1:1" x14ac:dyDescent="0.25">
      <c r="A2279" s="8"/>
    </row>
    <row r="2280" spans="1:1" x14ac:dyDescent="0.25">
      <c r="A2280" s="8"/>
    </row>
    <row r="2281" spans="1:1" x14ac:dyDescent="0.25">
      <c r="A2281" s="8"/>
    </row>
    <row r="2282" spans="1:1" x14ac:dyDescent="0.25">
      <c r="A2282" s="8"/>
    </row>
    <row r="2283" spans="1:1" x14ac:dyDescent="0.25">
      <c r="A2283" s="8"/>
    </row>
    <row r="2284" spans="1:1" x14ac:dyDescent="0.25">
      <c r="A2284" s="8"/>
    </row>
    <row r="2285" spans="1:1" x14ac:dyDescent="0.25">
      <c r="A2285" s="8"/>
    </row>
    <row r="2286" spans="1:1" x14ac:dyDescent="0.25">
      <c r="A2286" s="8"/>
    </row>
    <row r="2287" spans="1:1" x14ac:dyDescent="0.25">
      <c r="A2287" s="8"/>
    </row>
    <row r="2288" spans="1:1" x14ac:dyDescent="0.25">
      <c r="A2288" s="8"/>
    </row>
    <row r="2289" spans="1:1" x14ac:dyDescent="0.25">
      <c r="A2289" s="8"/>
    </row>
    <row r="2290" spans="1:1" x14ac:dyDescent="0.25">
      <c r="A2290" s="8"/>
    </row>
    <row r="2291" spans="1:1" x14ac:dyDescent="0.25">
      <c r="A2291" s="8"/>
    </row>
    <row r="2292" spans="1:1" x14ac:dyDescent="0.25">
      <c r="A2292" s="8"/>
    </row>
    <row r="2293" spans="1:1" x14ac:dyDescent="0.25">
      <c r="A2293" s="8"/>
    </row>
    <row r="2294" spans="1:1" x14ac:dyDescent="0.25">
      <c r="A2294" s="8"/>
    </row>
    <row r="2295" spans="1:1" x14ac:dyDescent="0.25">
      <c r="A2295" s="8"/>
    </row>
    <row r="2296" spans="1:1" x14ac:dyDescent="0.25">
      <c r="A2296" s="8"/>
    </row>
    <row r="2297" spans="1:1" x14ac:dyDescent="0.25">
      <c r="A2297" s="8"/>
    </row>
    <row r="2298" spans="1:1" x14ac:dyDescent="0.25">
      <c r="A2298" s="8"/>
    </row>
    <row r="2299" spans="1:1" x14ac:dyDescent="0.25">
      <c r="A2299" s="8"/>
    </row>
    <row r="2300" spans="1:1" x14ac:dyDescent="0.25">
      <c r="A2300" s="8"/>
    </row>
    <row r="2301" spans="1:1" x14ac:dyDescent="0.25">
      <c r="A2301" s="8"/>
    </row>
    <row r="2302" spans="1:1" x14ac:dyDescent="0.25">
      <c r="A2302" s="8"/>
    </row>
    <row r="2303" spans="1:1" x14ac:dyDescent="0.25">
      <c r="A2303" s="8"/>
    </row>
    <row r="2304" spans="1:1" x14ac:dyDescent="0.25">
      <c r="A2304" s="8"/>
    </row>
    <row r="2305" spans="1:1" x14ac:dyDescent="0.25">
      <c r="A2305" s="8"/>
    </row>
    <row r="2306" spans="1:1" x14ac:dyDescent="0.25">
      <c r="A2306" s="8"/>
    </row>
    <row r="2307" spans="1:1" x14ac:dyDescent="0.25">
      <c r="A2307" s="8"/>
    </row>
    <row r="2308" spans="1:1" x14ac:dyDescent="0.25">
      <c r="A2308" s="8"/>
    </row>
    <row r="2309" spans="1:1" x14ac:dyDescent="0.25">
      <c r="A2309" s="8"/>
    </row>
    <row r="2310" spans="1:1" x14ac:dyDescent="0.25">
      <c r="A2310" s="8"/>
    </row>
    <row r="2311" spans="1:1" x14ac:dyDescent="0.25">
      <c r="A2311" s="8"/>
    </row>
    <row r="2312" spans="1:1" x14ac:dyDescent="0.25">
      <c r="A2312" s="8"/>
    </row>
    <row r="2313" spans="1:1" x14ac:dyDescent="0.25">
      <c r="A2313" s="8"/>
    </row>
    <row r="2314" spans="1:1" x14ac:dyDescent="0.25">
      <c r="A2314" s="8"/>
    </row>
    <row r="2315" spans="1:1" x14ac:dyDescent="0.25">
      <c r="A2315" s="8"/>
    </row>
    <row r="2316" spans="1:1" x14ac:dyDescent="0.25">
      <c r="A2316" s="8"/>
    </row>
    <row r="2317" spans="1:1" x14ac:dyDescent="0.25">
      <c r="A2317" s="8"/>
    </row>
    <row r="2318" spans="1:1" x14ac:dyDescent="0.25">
      <c r="A2318" s="8"/>
    </row>
    <row r="2319" spans="1:1" x14ac:dyDescent="0.25">
      <c r="A2319" s="8"/>
    </row>
    <row r="2320" spans="1:1" x14ac:dyDescent="0.25">
      <c r="A2320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5">
    <tabColor theme="7" tint="0.39997558519241921"/>
  </sheetPr>
  <dimension ref="A1:U29"/>
  <sheetViews>
    <sheetView zoomScale="80" zoomScaleNormal="80" workbookViewId="0">
      <selection activeCell="R4" sqref="R4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40" t="s">
        <v>2372</v>
      </c>
      <c r="B1" s="38" t="s">
        <v>2368</v>
      </c>
      <c r="C1" s="38" t="s">
        <v>2369</v>
      </c>
      <c r="D1" s="38" t="s">
        <v>2370</v>
      </c>
      <c r="E1" s="38" t="s">
        <v>2373</v>
      </c>
      <c r="F1" s="38" t="s">
        <v>2374</v>
      </c>
      <c r="G1" s="38" t="s">
        <v>2375</v>
      </c>
      <c r="H1" s="42" t="s">
        <v>2377</v>
      </c>
      <c r="I1" s="43"/>
      <c r="J1" s="44"/>
      <c r="K1" s="42" t="s">
        <v>2371</v>
      </c>
      <c r="L1" s="43"/>
      <c r="M1" s="43"/>
      <c r="N1" s="43"/>
      <c r="O1" s="43"/>
      <c r="P1" s="43"/>
      <c r="Q1" s="44"/>
      <c r="R1" s="38" t="s">
        <v>2376</v>
      </c>
      <c r="S1" s="42" t="s">
        <v>2388</v>
      </c>
      <c r="T1" s="43"/>
      <c r="U1" s="45"/>
    </row>
    <row r="2" spans="1:21" ht="66" x14ac:dyDescent="0.25">
      <c r="A2" s="41"/>
      <c r="B2" s="39"/>
      <c r="C2" s="39"/>
      <c r="D2" s="39"/>
      <c r="E2" s="39"/>
      <c r="F2" s="39"/>
      <c r="G2" s="39"/>
      <c r="H2" s="35" t="s">
        <v>2378</v>
      </c>
      <c r="I2" s="35" t="s">
        <v>2379</v>
      </c>
      <c r="J2" s="35" t="s">
        <v>2380</v>
      </c>
      <c r="K2" s="35" t="s">
        <v>2381</v>
      </c>
      <c r="L2" s="35" t="s">
        <v>2382</v>
      </c>
      <c r="M2" s="35" t="s">
        <v>2383</v>
      </c>
      <c r="N2" s="35" t="s">
        <v>2384</v>
      </c>
      <c r="O2" s="35" t="s">
        <v>2385</v>
      </c>
      <c r="P2" s="35" t="s">
        <v>2386</v>
      </c>
      <c r="Q2" s="35" t="s">
        <v>2387</v>
      </c>
      <c r="R2" s="39"/>
      <c r="S2" s="35" t="s">
        <v>2389</v>
      </c>
      <c r="T2" s="35" t="s">
        <v>2390</v>
      </c>
      <c r="U2" s="31" t="s">
        <v>2391</v>
      </c>
    </row>
    <row r="3" spans="1:21" ht="16.5" x14ac:dyDescent="0.25">
      <c r="A3" s="9" t="str">
        <f>A4</f>
        <v>Спм1</v>
      </c>
      <c r="B3" s="10" t="s">
        <v>2392</v>
      </c>
      <c r="C3" s="10" t="s">
        <v>2393</v>
      </c>
      <c r="D3" s="10" t="s">
        <v>2634</v>
      </c>
      <c r="E3" s="10">
        <f>0.78*107</f>
        <v>83.460000000000008</v>
      </c>
      <c r="F3" s="10" t="s">
        <v>4</v>
      </c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spans="1:21" ht="16.5" x14ac:dyDescent="0.25">
      <c r="A4" s="9" t="str">
        <f t="shared" ref="A4:A9" si="0">A5</f>
        <v>Спм1</v>
      </c>
      <c r="B4" s="10" t="s">
        <v>2392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1"/>
    </row>
    <row r="5" spans="1:21" ht="16.5" x14ac:dyDescent="0.25">
      <c r="A5" s="9" t="str">
        <f t="shared" si="0"/>
        <v>Спм1</v>
      </c>
      <c r="B5" s="10" t="s">
        <v>2392</v>
      </c>
      <c r="C5" s="10"/>
      <c r="D5" s="10" t="s">
        <v>2639</v>
      </c>
      <c r="E5" s="10">
        <f>1.6*107</f>
        <v>171.20000000000002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1"/>
    </row>
    <row r="6" spans="1:21" ht="16.5" x14ac:dyDescent="0.25">
      <c r="A6" s="9" t="str">
        <f>A8</f>
        <v>Спм1</v>
      </c>
      <c r="B6" s="10" t="s">
        <v>2392</v>
      </c>
      <c r="C6" s="10"/>
      <c r="D6" s="10" t="s">
        <v>2464</v>
      </c>
      <c r="E6" s="10">
        <v>200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1"/>
    </row>
    <row r="7" spans="1:21" ht="16.5" x14ac:dyDescent="0.25">
      <c r="A7" s="9" t="str">
        <f>A8</f>
        <v>Спм1</v>
      </c>
      <c r="B7" s="10" t="s">
        <v>2392</v>
      </c>
      <c r="C7" s="10"/>
      <c r="D7" s="10" t="s">
        <v>2638</v>
      </c>
      <c r="E7" s="10">
        <v>107000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1"/>
    </row>
    <row r="8" spans="1:21" ht="16.5" x14ac:dyDescent="0.25">
      <c r="A8" s="9" t="str">
        <f t="shared" si="0"/>
        <v>Спм1</v>
      </c>
      <c r="B8" s="10" t="s">
        <v>2392</v>
      </c>
      <c r="C8" s="10"/>
      <c r="D8" s="10" t="s">
        <v>2465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1"/>
    </row>
    <row r="9" spans="1:21" ht="16.5" x14ac:dyDescent="0.25">
      <c r="A9" s="9" t="str">
        <f t="shared" si="0"/>
        <v>Спм1</v>
      </c>
      <c r="B9" s="10" t="s">
        <v>2392</v>
      </c>
      <c r="C9" s="10"/>
      <c r="D9" s="10" t="s">
        <v>2644</v>
      </c>
      <c r="E9" s="10">
        <f>2.3*107</f>
        <v>246.1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1"/>
    </row>
    <row r="10" spans="1:21" ht="16.5" x14ac:dyDescent="0.25">
      <c r="A10" s="9" t="str">
        <f>A11</f>
        <v>Спм1</v>
      </c>
      <c r="B10" s="10" t="s">
        <v>2392</v>
      </c>
      <c r="C10" s="10"/>
      <c r="D10" s="10" t="s">
        <v>2633</v>
      </c>
      <c r="E10" s="10">
        <f>1.8*107.2</f>
        <v>192.96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1"/>
    </row>
    <row r="11" spans="1:21" ht="33" x14ac:dyDescent="0.25">
      <c r="A11" s="13" t="str">
        <f>B11</f>
        <v>Спм1</v>
      </c>
      <c r="B11" s="14" t="s">
        <v>2640</v>
      </c>
      <c r="C11" s="14"/>
      <c r="D11" s="14" t="s">
        <v>2658</v>
      </c>
      <c r="E11" s="14">
        <v>1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5"/>
    </row>
    <row r="12" spans="1:21" ht="16.5" x14ac:dyDescent="0.25">
      <c r="A12" s="28" t="str">
        <f>A11</f>
        <v>Спм1</v>
      </c>
      <c r="B12" s="35"/>
      <c r="C12" s="22" t="s">
        <v>2418</v>
      </c>
      <c r="D12" s="22" t="s">
        <v>2634</v>
      </c>
      <c r="E12" s="22">
        <f>E3</f>
        <v>83.460000000000008</v>
      </c>
      <c r="F12" s="10" t="s">
        <v>4</v>
      </c>
      <c r="G12" s="35" t="s">
        <v>3</v>
      </c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1"/>
    </row>
    <row r="13" spans="1:21" ht="16.5" x14ac:dyDescent="0.25">
      <c r="A13" s="28" t="str">
        <f t="shared" ref="A13:A26" si="1">A12</f>
        <v>Спм1</v>
      </c>
      <c r="B13" s="35"/>
      <c r="C13" s="22" t="s">
        <v>2418</v>
      </c>
      <c r="D13" s="22" t="s">
        <v>2631</v>
      </c>
      <c r="E13" s="22">
        <f>E10*0.1</f>
        <v>19.296000000000003</v>
      </c>
      <c r="F13" s="10" t="s">
        <v>4</v>
      </c>
      <c r="G13" s="35" t="s">
        <v>3</v>
      </c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1"/>
    </row>
    <row r="14" spans="1:21" ht="16.5" x14ac:dyDescent="0.25">
      <c r="A14" s="28" t="str">
        <f>A13</f>
        <v>Спм1</v>
      </c>
      <c r="B14" s="35"/>
      <c r="C14" s="35" t="s">
        <v>2470</v>
      </c>
      <c r="D14" s="35" t="s">
        <v>2636</v>
      </c>
      <c r="E14" s="23">
        <v>2</v>
      </c>
      <c r="F14" s="10">
        <v>0.88800000000000001</v>
      </c>
      <c r="G14" s="35" t="s">
        <v>2358</v>
      </c>
      <c r="H14" s="23">
        <f>Арм_ПоПлощади(E5*1000*1000,200,T14)</f>
        <v>943710</v>
      </c>
      <c r="I14" s="35">
        <v>12</v>
      </c>
      <c r="J14" s="35" t="s">
        <v>2</v>
      </c>
      <c r="K14" s="35"/>
      <c r="L14" s="35"/>
      <c r="M14" s="35"/>
      <c r="N14" s="35"/>
      <c r="O14" s="35"/>
      <c r="P14" s="35"/>
      <c r="Q14" s="35"/>
      <c r="R14" s="35"/>
      <c r="S14" s="35">
        <v>995</v>
      </c>
      <c r="T14" s="35">
        <v>995</v>
      </c>
      <c r="U14" s="31">
        <v>30</v>
      </c>
    </row>
    <row r="15" spans="1:21" ht="16.5" x14ac:dyDescent="0.25">
      <c r="A15" s="28" t="str">
        <f t="shared" si="1"/>
        <v>Спм1</v>
      </c>
      <c r="B15" s="35"/>
      <c r="C15" s="35" t="s">
        <v>2470</v>
      </c>
      <c r="D15" s="35" t="s">
        <v>2462</v>
      </c>
      <c r="E15" s="23">
        <v>2</v>
      </c>
      <c r="F15" s="10">
        <v>0.88800000000000001</v>
      </c>
      <c r="G15" s="35" t="s">
        <v>2358</v>
      </c>
      <c r="H15" s="23">
        <f>Арм_ПоПлощади(E5*1000*1000,200,T15)</f>
        <v>943710</v>
      </c>
      <c r="I15" s="35">
        <v>12</v>
      </c>
      <c r="J15" s="35" t="s">
        <v>2</v>
      </c>
      <c r="K15" s="35"/>
      <c r="L15" s="35"/>
      <c r="M15" s="35"/>
      <c r="N15" s="35"/>
      <c r="O15" s="35"/>
      <c r="P15" s="35"/>
      <c r="Q15" s="35"/>
      <c r="R15" s="35"/>
      <c r="S15" s="35">
        <v>995</v>
      </c>
      <c r="T15" s="35">
        <v>995</v>
      </c>
      <c r="U15" s="31">
        <v>30</v>
      </c>
    </row>
    <row r="16" spans="1:21" ht="33" x14ac:dyDescent="0.25">
      <c r="A16" s="28" t="str">
        <f t="shared" si="1"/>
        <v>Спм1</v>
      </c>
      <c r="B16" s="35"/>
      <c r="C16" s="35" t="s">
        <v>2470</v>
      </c>
      <c r="D16" s="35" t="s">
        <v>2637</v>
      </c>
      <c r="E16" s="35">
        <f>ROUNDUP(E7*2/200,0)</f>
        <v>1070</v>
      </c>
      <c r="F16" s="10">
        <v>0.88800000000000001</v>
      </c>
      <c r="G16" s="35" t="s">
        <v>0</v>
      </c>
      <c r="H16" s="35">
        <f>Арм_Элемент_П(E6*2,E6-2*50,I16,J16)</f>
        <v>870</v>
      </c>
      <c r="I16" s="35">
        <v>12</v>
      </c>
      <c r="J16" s="35" t="s">
        <v>2</v>
      </c>
      <c r="K16" s="35"/>
      <c r="L16" s="35"/>
      <c r="M16" s="35"/>
      <c r="N16" s="35"/>
      <c r="O16" s="35"/>
      <c r="P16" s="35"/>
      <c r="Q16" s="35"/>
      <c r="R16" s="35"/>
      <c r="S16" s="35">
        <v>995</v>
      </c>
      <c r="T16" s="35">
        <v>995</v>
      </c>
      <c r="U16" s="31">
        <v>30</v>
      </c>
    </row>
    <row r="17" spans="1:21" ht="16.5" x14ac:dyDescent="0.25">
      <c r="A17" s="28" t="str">
        <f>A16</f>
        <v>Спм1</v>
      </c>
      <c r="B17" s="35"/>
      <c r="C17" s="35" t="s">
        <v>2470</v>
      </c>
      <c r="D17" s="35" t="s">
        <v>2642</v>
      </c>
      <c r="E17" s="23">
        <v>2</v>
      </c>
      <c r="F17" s="10">
        <v>0.88800000000000001</v>
      </c>
      <c r="G17" s="35" t="s">
        <v>2358</v>
      </c>
      <c r="H17" s="23">
        <f>Арм_ПоПлощади(E9*1000*1000,200,T17)</f>
        <v>1352660</v>
      </c>
      <c r="I17" s="35">
        <v>12</v>
      </c>
      <c r="J17" s="35" t="s">
        <v>2</v>
      </c>
      <c r="K17" s="35"/>
      <c r="L17" s="35"/>
      <c r="M17" s="35"/>
      <c r="N17" s="35"/>
      <c r="O17" s="35"/>
      <c r="P17" s="35"/>
      <c r="Q17" s="35"/>
      <c r="R17" s="35"/>
      <c r="S17" s="35">
        <v>995</v>
      </c>
      <c r="T17" s="35">
        <v>995</v>
      </c>
      <c r="U17" s="31">
        <v>30</v>
      </c>
    </row>
    <row r="18" spans="1:21" ht="33" x14ac:dyDescent="0.25">
      <c r="A18" s="28" t="str">
        <f t="shared" si="1"/>
        <v>Спм1</v>
      </c>
      <c r="B18" s="35"/>
      <c r="C18" s="35" t="s">
        <v>2470</v>
      </c>
      <c r="D18" s="35" t="s">
        <v>2643</v>
      </c>
      <c r="E18" s="23">
        <v>2</v>
      </c>
      <c r="F18" s="10">
        <v>0.88800000000000001</v>
      </c>
      <c r="G18" s="35" t="s">
        <v>2358</v>
      </c>
      <c r="H18" s="23">
        <f>Арм_ПоПлощади(E9*1000*1000,200,T18)</f>
        <v>1352660</v>
      </c>
      <c r="I18" s="35">
        <v>12</v>
      </c>
      <c r="J18" s="35" t="s">
        <v>2</v>
      </c>
      <c r="K18" s="35"/>
      <c r="L18" s="35"/>
      <c r="M18" s="35"/>
      <c r="N18" s="35"/>
      <c r="O18" s="35"/>
      <c r="P18" s="35"/>
      <c r="Q18" s="35"/>
      <c r="R18" s="35"/>
      <c r="S18" s="35">
        <v>995</v>
      </c>
      <c r="T18" s="35">
        <v>995</v>
      </c>
      <c r="U18" s="31">
        <v>30</v>
      </c>
    </row>
    <row r="19" spans="1:21" ht="33" x14ac:dyDescent="0.25">
      <c r="A19" s="28" t="str">
        <f t="shared" si="1"/>
        <v>Спм1</v>
      </c>
      <c r="B19" s="35"/>
      <c r="C19" s="35" t="s">
        <v>2470</v>
      </c>
      <c r="D19" s="35" t="s">
        <v>2661</v>
      </c>
      <c r="E19" s="35">
        <f>ROUNDUP((E7/200+2300/200*10),0)</f>
        <v>650</v>
      </c>
      <c r="F19" s="10">
        <v>0.88800000000000001</v>
      </c>
      <c r="G19" s="35" t="s">
        <v>0</v>
      </c>
      <c r="H19" s="35">
        <f>Арм_Элемент_П(E6*2,E6-2*50,I19,J19)</f>
        <v>870</v>
      </c>
      <c r="I19" s="35">
        <v>12</v>
      </c>
      <c r="J19" s="35" t="s">
        <v>2</v>
      </c>
      <c r="K19" s="35"/>
      <c r="L19" s="35"/>
      <c r="M19" s="35"/>
      <c r="N19" s="35"/>
      <c r="O19" s="35"/>
      <c r="P19" s="35"/>
      <c r="Q19" s="35"/>
      <c r="R19" s="35"/>
      <c r="S19" s="35">
        <v>995</v>
      </c>
      <c r="T19" s="35">
        <v>995</v>
      </c>
      <c r="U19" s="31">
        <v>30</v>
      </c>
    </row>
    <row r="20" spans="1:21" ht="33" x14ac:dyDescent="0.25">
      <c r="A20" s="28" t="str">
        <f>A16</f>
        <v>Спм1</v>
      </c>
      <c r="B20" s="35"/>
      <c r="C20" s="35" t="s">
        <v>2470</v>
      </c>
      <c r="D20" s="35" t="s">
        <v>2645</v>
      </c>
      <c r="E20" s="35">
        <f>ROUNDUP(E7/200,0)*2</f>
        <v>1070</v>
      </c>
      <c r="F20" s="10">
        <v>0.88800000000000001</v>
      </c>
      <c r="G20" s="35" t="s">
        <v>0</v>
      </c>
      <c r="H20" s="35">
        <f>Арм_Элемент_Г((500-125),T20+125,I20,J20)</f>
        <v>1480</v>
      </c>
      <c r="I20" s="35">
        <v>12</v>
      </c>
      <c r="J20" s="35" t="s">
        <v>2</v>
      </c>
      <c r="K20" s="35"/>
      <c r="L20" s="35"/>
      <c r="M20" s="35"/>
      <c r="N20" s="35"/>
      <c r="O20" s="35"/>
      <c r="P20" s="35"/>
      <c r="Q20" s="35"/>
      <c r="R20" s="35"/>
      <c r="S20" s="35">
        <v>995</v>
      </c>
      <c r="T20" s="35">
        <v>995</v>
      </c>
      <c r="U20" s="31">
        <v>30</v>
      </c>
    </row>
    <row r="21" spans="1:21" ht="33" x14ac:dyDescent="0.25">
      <c r="A21" s="28" t="str">
        <f>A18</f>
        <v>Спм1</v>
      </c>
      <c r="B21" s="35"/>
      <c r="C21" s="35" t="s">
        <v>2470</v>
      </c>
      <c r="D21" s="35" t="s">
        <v>2648</v>
      </c>
      <c r="E21" s="35">
        <f>ROUNDUP((E19/2*6),0)</f>
        <v>1950</v>
      </c>
      <c r="F21" s="10">
        <v>0.222</v>
      </c>
      <c r="G21" s="35" t="s">
        <v>0</v>
      </c>
      <c r="H21" s="35">
        <f>245</f>
        <v>245</v>
      </c>
      <c r="I21" s="35">
        <v>6</v>
      </c>
      <c r="J21" s="35" t="s">
        <v>1</v>
      </c>
      <c r="K21" s="35"/>
      <c r="L21" s="35"/>
      <c r="M21" s="35"/>
      <c r="N21" s="35"/>
      <c r="O21" s="35"/>
      <c r="P21" s="35"/>
      <c r="Q21" s="35"/>
      <c r="R21" s="35"/>
      <c r="S21" s="35">
        <v>240</v>
      </c>
      <c r="T21" s="35">
        <v>250</v>
      </c>
      <c r="U21" s="31">
        <v>7.5</v>
      </c>
    </row>
    <row r="22" spans="1:21" ht="16.5" x14ac:dyDescent="0.25">
      <c r="A22" s="28" t="str">
        <f>A16</f>
        <v>Спм1</v>
      </c>
      <c r="B22" s="20" t="str">
        <f>Изделия_спец.И!A5</f>
        <v>Крп20</v>
      </c>
      <c r="C22" s="20" t="str">
        <f>Изделия_спец.И!C5</f>
        <v xml:space="preserve"> </v>
      </c>
      <c r="D22" s="20" t="str">
        <f>Изделия_спец.И!D5</f>
        <v>Каркас Крп20</v>
      </c>
      <c r="E22" s="20">
        <f>ROUNDUP(Арм_ПоПлощади(E5*1000*1000,1000,0)/1000,0)</f>
        <v>185</v>
      </c>
      <c r="F22" s="10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1"/>
    </row>
    <row r="23" spans="1:21" ht="16.5" x14ac:dyDescent="0.25">
      <c r="A23" s="28" t="str">
        <f>A22</f>
        <v>Спм1</v>
      </c>
      <c r="B23" s="35"/>
      <c r="C23" s="35" t="s">
        <v>2418</v>
      </c>
      <c r="D23" s="35" t="s">
        <v>2632</v>
      </c>
      <c r="E23" s="35">
        <f>(6.5*E7/1000)*2</f>
        <v>1391</v>
      </c>
      <c r="F23" s="35"/>
      <c r="G23" s="35" t="s">
        <v>2359</v>
      </c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1"/>
    </row>
    <row r="24" spans="1:21" ht="33" x14ac:dyDescent="0.25">
      <c r="A24" s="28" t="str">
        <f t="shared" si="1"/>
        <v>Спм1</v>
      </c>
      <c r="B24" s="35"/>
      <c r="C24" s="35" t="s">
        <v>2469</v>
      </c>
      <c r="D24" s="35" t="s">
        <v>2659</v>
      </c>
      <c r="E24" s="35">
        <f>(6.5*E7/1000)*0.35</f>
        <v>243.42499999999998</v>
      </c>
      <c r="F24" s="35"/>
      <c r="G24" s="35" t="s">
        <v>2361</v>
      </c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1"/>
    </row>
    <row r="25" spans="1:21" ht="33" x14ac:dyDescent="0.25">
      <c r="A25" s="28" t="str">
        <f t="shared" si="1"/>
        <v>Спм1</v>
      </c>
      <c r="B25" s="35"/>
      <c r="C25" s="35"/>
      <c r="D25" s="35" t="s">
        <v>2656</v>
      </c>
      <c r="E25" s="35">
        <f>4*1.7</f>
        <v>6.8</v>
      </c>
      <c r="F25" s="35"/>
      <c r="G25" s="35" t="s">
        <v>2358</v>
      </c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1"/>
    </row>
    <row r="26" spans="1:21" ht="33" x14ac:dyDescent="0.25">
      <c r="A26" s="28" t="str">
        <f t="shared" si="1"/>
        <v>Спм1</v>
      </c>
      <c r="B26" s="35"/>
      <c r="C26" s="35"/>
      <c r="D26" s="35" t="s">
        <v>2657</v>
      </c>
      <c r="E26" s="35">
        <f>4*0.78</f>
        <v>3.12</v>
      </c>
      <c r="F26" s="35"/>
      <c r="G26" s="35" t="s">
        <v>2359</v>
      </c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1"/>
    </row>
    <row r="27" spans="1:21" ht="16.5" x14ac:dyDescent="0.25">
      <c r="A27" s="28" t="str">
        <f>A26</f>
        <v>Спм1</v>
      </c>
      <c r="B27" s="20" t="str">
        <f>Изделия_спец.И!$B$9</f>
        <v>Мн1</v>
      </c>
      <c r="C27" s="20" t="str">
        <f>Изделия_спец.И!$C$9</f>
        <v>данный лист</v>
      </c>
      <c r="D27" s="20" t="str">
        <f>Изделия_спец.И!$D$9</f>
        <v>Закладная деталь Мн1</v>
      </c>
      <c r="E27" s="20">
        <v>1</v>
      </c>
      <c r="F27" s="10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1"/>
    </row>
    <row r="28" spans="1:21" ht="16.5" x14ac:dyDescent="0.25">
      <c r="A28" s="28" t="str">
        <f>A27</f>
        <v>Спм1</v>
      </c>
      <c r="B28" s="20" t="str">
        <f>Изделия_спец.И!$B$14</f>
        <v>Му1</v>
      </c>
      <c r="C28" s="20" t="str">
        <f>Изделия_спец.И!$C$14</f>
        <v>данный лист</v>
      </c>
      <c r="D28" s="20" t="str">
        <f>Изделия_спец.И!$D$14</f>
        <v>Закладная деталь Му1</v>
      </c>
      <c r="E28" s="20">
        <v>2</v>
      </c>
      <c r="F28" s="10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1"/>
    </row>
    <row r="29" spans="1:21" ht="17.25" thickBot="1" x14ac:dyDescent="0.3">
      <c r="A29" s="32" t="str">
        <f>A28</f>
        <v>Спм1</v>
      </c>
      <c r="B29" s="36" t="str">
        <f>Изделия_спец.И!$B$18</f>
        <v>Му2</v>
      </c>
      <c r="C29" s="36" t="str">
        <f>Изделия_спец.И!$C$18</f>
        <v>данный лист</v>
      </c>
      <c r="D29" s="36" t="str">
        <f>Изделия_спец.И!$D$18</f>
        <v>Закладная деталь Му2</v>
      </c>
      <c r="E29" s="36">
        <v>4</v>
      </c>
      <c r="F29" s="16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4"/>
    </row>
  </sheetData>
  <mergeCells count="11">
    <mergeCell ref="G1:G2"/>
    <mergeCell ref="H1:J1"/>
    <mergeCell ref="K1:Q1"/>
    <mergeCell ref="R1:R2"/>
    <mergeCell ref="S1:U1"/>
    <mergeCell ref="A1:A2"/>
    <mergeCell ref="B1:B2"/>
    <mergeCell ref="C1:C2"/>
    <mergeCell ref="D1:D2"/>
    <mergeCell ref="E1:E2"/>
    <mergeCell ref="F1:F2"/>
  </mergeCells>
  <phoneticPr fontId="23" type="noConversion"/>
  <conditionalFormatting sqref="A1:H1 A3:U29 H2:Q2 K1 R1:S1 S2:U2">
    <cfRule type="containsText" dxfId="419" priority="2" stopIfTrue="1" operator="containsText" text="С ЛИСТА">
      <formula>NOT(ISERROR(SEARCH("С ЛИСТА",A1)))</formula>
    </cfRule>
    <cfRule type="containsText" dxfId="418" priority="3" stopIfTrue="1" operator="containsText" text="ИЗ ФАЙЛА">
      <formula>NOT(ISERROR(SEARCH("ИЗ ФАЙЛА",A1)))</formula>
    </cfRule>
    <cfRule type="containsText" dxfId="417" priority="4" stopIfTrue="1" operator="containsText" text="!!!">
      <formula>NOT(ISERROR(SEARCH("!!!",A1)))</formula>
    </cfRule>
    <cfRule type="containsText" dxfId="416" priority="5" stopIfTrue="1" operator="containsText" text=" Заполнения проёмов ">
      <formula>NOT(ISERROR(SEARCH(" Заполнения проёмов ",A1)))</formula>
    </cfRule>
    <cfRule type="containsText" dxfId="415" priority="6" stopIfTrue="1" operator="containsText" text=" Сборочные единицы ">
      <formula>NOT(ISERROR(SEARCH(" Сборочные единицы ",A1)))</formula>
    </cfRule>
    <cfRule type="containsText" dxfId="414" priority="7" stopIfTrue="1" operator="containsText" text=" Заполнения проёмов ">
      <formula>NOT(ISERROR(SEARCH(" Заполнения проёмов ",A1)))</formula>
    </cfRule>
    <cfRule type="containsText" dxfId="413" priority="8" stopIfTrue="1" operator="containsText" text=" Сборочные единицы ">
      <formula>NOT(ISERROR(SEARCH(" Сборочные единицы ",A1)))</formula>
    </cfRule>
    <cfRule type="containsText" dxfId="412" priority="9" stopIfTrue="1" operator="containsText" text=" Изделия ">
      <formula>NOT(ISERROR(SEARCH(" Изделия ",A1)))</formula>
    </cfRule>
    <cfRule type="containsText" dxfId="411" priority="10" stopIfTrue="1" operator="containsText" text=" Материалы ">
      <formula>NOT(ISERROR(SEARCH(" Материалы ",A1)))</formula>
    </cfRule>
    <cfRule type="containsText" dxfId="410" priority="11" stopIfTrue="1" operator="containsText" text=" Изделия арматурные ">
      <formula>NOT(ISERROR(SEARCH(" Изделия арматурные ",A1)))</formula>
    </cfRule>
    <cfRule type="containsText" dxfId="409" priority="12" stopIfTrue="1" operator="containsText" text=" Прокат ">
      <formula>NOT(ISERROR(SEARCH(" Прокат ",A1)))</formula>
    </cfRule>
    <cfRule type="containsText" dxfId="408" priority="13" stopIfTrue="1" operator="containsText" text="Элементы на отм.">
      <formula>NOT(ISERROR(SEARCH("Элементы на отм.",A1)))</formula>
    </cfRule>
    <cfRule type="containsText" dxfId="407" priority="14" stopIfTrue="1" operator="containsText" text=", на ">
      <formula>NOT(ISERROR(SEARCH(", на ",A1)))</formula>
    </cfRule>
    <cfRule type="containsText" dxfId="406" priority="15" stopIfTrue="1" operator="containsText" text="шт.)">
      <formula>NOT(ISERROR(SEARCH("шт.)",A1)))</formula>
    </cfRule>
  </conditionalFormatting>
  <conditionalFormatting sqref="A1:U1048576">
    <cfRule type="expression" dxfId="405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errorStyle="warning" allowBlank="1" showInputMessage="1" showErrorMessage="1" xr:uid="{1757E6F2-3A91-466F-8AD7-E988432BDF52}">
          <x14:formula1>
            <xm:f>'!System'!$BW$1:$BW$6</xm:f>
          </x14:formula1>
          <xm:sqref>G3:G29</xm:sqref>
        </x14:dataValidation>
        <x14:dataValidation type="list" allowBlank="1" showInputMessage="1" showErrorMessage="1" xr:uid="{25E6245A-E86A-43B2-8C45-0E60E1BCB424}">
          <x14:formula1>
            <xm:f>'!System'!$AG$1:$AO$1</xm:f>
          </x14:formula1>
          <xm:sqref>J3:J29</xm:sqref>
        </x14:dataValidation>
        <x14:dataValidation type="list" allowBlank="1" showInputMessage="1" showErrorMessage="1" xr:uid="{DDAE3AE2-4474-4FD3-BB13-4458541B11FE}">
          <x14:formula1>
            <xm:f>'!System'!$A$1:$AE$1</xm:f>
          </x14:formula1>
          <xm:sqref>L3:L29</xm:sqref>
        </x14:dataValidation>
        <x14:dataValidation type="list" allowBlank="1" showInputMessage="1" showErrorMessage="1" xr:uid="{AA72DEFC-8F0D-4EE5-A189-E1157C29D3FF}">
          <x14:formula1>
            <xm:f>'!System'!$AP$1:$BV$1</xm:f>
          </x14:formula1>
          <xm:sqref>O3:O29</xm:sqref>
        </x14:dataValidation>
        <x14:dataValidation type="list" allowBlank="1" showInputMessage="1" showErrorMessage="1" xr:uid="{E627C88C-228D-4654-ADBC-F8339382D48D}">
          <x14:formula1>
            <xm:f>'!System'!$BX$1:$BX$5</xm:f>
          </x14:formula1>
          <xm:sqref>P3:P29</xm:sqref>
        </x14:dataValidation>
        <x14:dataValidation type="list" allowBlank="1" showInputMessage="1" showErrorMessage="1" xr:uid="{BB5FA973-699F-41B3-AB28-5BB8FFFE6BEB}">
          <x14:formula1>
            <xm:f>'!System'!$AG$2:$AG$17</xm:f>
          </x14:formula1>
          <xm:sqref>I14 I15 I16 I17 I18 I19 I20</xm:sqref>
        </x14:dataValidation>
        <x14:dataValidation type="list" allowBlank="1" showInputMessage="1" showErrorMessage="1" xr:uid="{8699CD90-8077-47F0-9253-A70A97138BA8}">
          <x14:formula1>
            <xm:f>'!System'!$AH$2:$AH$16</xm:f>
          </x14:formula1>
          <xm:sqref>I21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B903C-2514-4C05-8ADC-A7B0DB7DBDEC}">
  <sheetPr codeName="Лист27">
    <tabColor theme="7" tint="0.39997558519241921"/>
  </sheetPr>
  <dimension ref="A1:U12"/>
  <sheetViews>
    <sheetView zoomScale="80" zoomScaleNormal="80" workbookViewId="0">
      <selection activeCell="G30" sqref="G30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49.5" x14ac:dyDescent="0.25">
      <c r="A1" s="27" t="s">
        <v>2372</v>
      </c>
      <c r="B1" s="29" t="s">
        <v>2368</v>
      </c>
      <c r="C1" s="29" t="s">
        <v>2369</v>
      </c>
      <c r="D1" s="29" t="s">
        <v>2370</v>
      </c>
      <c r="E1" s="29" t="s">
        <v>2373</v>
      </c>
      <c r="F1" s="29" t="s">
        <v>2374</v>
      </c>
      <c r="G1" s="29" t="s">
        <v>2375</v>
      </c>
      <c r="H1" s="29" t="s">
        <v>2377</v>
      </c>
      <c r="I1" s="29"/>
      <c r="J1" s="29"/>
      <c r="K1" s="29" t="s">
        <v>2371</v>
      </c>
      <c r="L1" s="29"/>
      <c r="M1" s="29"/>
      <c r="N1" s="29"/>
      <c r="O1" s="29"/>
      <c r="P1" s="29"/>
      <c r="Q1" s="29"/>
      <c r="R1" s="29" t="s">
        <v>2376</v>
      </c>
      <c r="S1" s="29" t="s">
        <v>2388</v>
      </c>
      <c r="T1" s="29"/>
      <c r="U1" s="30"/>
    </row>
    <row r="2" spans="1:21" ht="66" x14ac:dyDescent="0.25">
      <c r="A2" s="28"/>
      <c r="B2" s="35"/>
      <c r="C2" s="35"/>
      <c r="D2" s="35"/>
      <c r="E2" s="35"/>
      <c r="F2" s="35"/>
      <c r="G2" s="35"/>
      <c r="H2" s="35" t="s">
        <v>2378</v>
      </c>
      <c r="I2" s="35" t="s">
        <v>2379</v>
      </c>
      <c r="J2" s="35" t="s">
        <v>2380</v>
      </c>
      <c r="K2" s="35" t="s">
        <v>2381</v>
      </c>
      <c r="L2" s="35" t="s">
        <v>2382</v>
      </c>
      <c r="M2" s="35" t="s">
        <v>2383</v>
      </c>
      <c r="N2" s="35" t="s">
        <v>2384</v>
      </c>
      <c r="O2" s="35" t="s">
        <v>2385</v>
      </c>
      <c r="P2" s="35" t="s">
        <v>2386</v>
      </c>
      <c r="Q2" s="35" t="s">
        <v>2387</v>
      </c>
      <c r="R2" s="35"/>
      <c r="S2" s="35" t="s">
        <v>2389</v>
      </c>
      <c r="T2" s="35" t="s">
        <v>2390</v>
      </c>
      <c r="U2" s="31" t="s">
        <v>2391</v>
      </c>
    </row>
    <row r="3" spans="1:21" ht="16.5" x14ac:dyDescent="0.25">
      <c r="A3" s="28"/>
      <c r="B3" s="24">
        <v>1</v>
      </c>
      <c r="C3" s="24" t="s">
        <v>3016</v>
      </c>
      <c r="D3" s="24"/>
      <c r="E3" s="24">
        <v>1</v>
      </c>
      <c r="F3" s="10">
        <v>105.8</v>
      </c>
      <c r="G3" s="35"/>
      <c r="H3" s="35"/>
      <c r="I3" s="35"/>
      <c r="J3" s="35"/>
      <c r="K3" s="35">
        <v>6000</v>
      </c>
      <c r="L3" s="35" t="s">
        <v>2809</v>
      </c>
      <c r="M3" s="35" t="s">
        <v>2815</v>
      </c>
      <c r="N3" s="35" t="s">
        <v>3017</v>
      </c>
      <c r="O3" s="35" t="s">
        <v>2350</v>
      </c>
      <c r="P3" s="35" t="s">
        <v>2362</v>
      </c>
      <c r="Q3" s="35"/>
      <c r="R3" s="35"/>
      <c r="S3" s="35"/>
      <c r="T3" s="35"/>
      <c r="U3" s="31"/>
    </row>
    <row r="4" spans="1:21" ht="16.5" x14ac:dyDescent="0.25">
      <c r="A4" s="28"/>
      <c r="B4" s="24">
        <v>2</v>
      </c>
      <c r="C4" s="24" t="s">
        <v>3016</v>
      </c>
      <c r="D4" s="24"/>
      <c r="E4" s="24">
        <v>2</v>
      </c>
      <c r="F4" s="10">
        <v>48.3</v>
      </c>
      <c r="G4" s="35"/>
      <c r="H4" s="35"/>
      <c r="I4" s="35"/>
      <c r="J4" s="35"/>
      <c r="K4" s="35">
        <v>8000</v>
      </c>
      <c r="L4" s="35" t="s">
        <v>2690</v>
      </c>
      <c r="M4" s="35" t="s">
        <v>2703</v>
      </c>
      <c r="N4" s="35" t="s">
        <v>3018</v>
      </c>
      <c r="O4" s="35" t="s">
        <v>2350</v>
      </c>
      <c r="P4" s="35" t="s">
        <v>2363</v>
      </c>
      <c r="Q4" s="35"/>
      <c r="R4" s="35"/>
      <c r="S4" s="35"/>
      <c r="T4" s="35"/>
      <c r="U4" s="31"/>
    </row>
    <row r="5" spans="1:21" ht="16.5" x14ac:dyDescent="0.25">
      <c r="A5" s="28"/>
      <c r="B5" s="24">
        <v>3</v>
      </c>
      <c r="C5" s="24" t="s">
        <v>3016</v>
      </c>
      <c r="D5" s="24"/>
      <c r="E5" s="24">
        <v>30</v>
      </c>
      <c r="F5" s="10">
        <v>56.8</v>
      </c>
      <c r="G5" s="35"/>
      <c r="H5" s="35"/>
      <c r="I5" s="35"/>
      <c r="J5" s="35"/>
      <c r="K5" s="35">
        <v>2000</v>
      </c>
      <c r="L5" s="35" t="s">
        <v>2690</v>
      </c>
      <c r="M5" s="35" t="s">
        <v>1967</v>
      </c>
      <c r="N5" s="35" t="s">
        <v>3019</v>
      </c>
      <c r="O5" s="35" t="s">
        <v>2350</v>
      </c>
      <c r="P5" s="35" t="s">
        <v>2362</v>
      </c>
      <c r="Q5" s="35"/>
      <c r="R5" s="35"/>
      <c r="S5" s="35"/>
      <c r="T5" s="35"/>
      <c r="U5" s="31"/>
    </row>
    <row r="6" spans="1:21" ht="16.5" x14ac:dyDescent="0.25">
      <c r="A6" s="28"/>
      <c r="B6" s="24">
        <v>4</v>
      </c>
      <c r="C6" s="24" t="s">
        <v>3016</v>
      </c>
      <c r="D6" s="24"/>
      <c r="E6" s="24">
        <v>50</v>
      </c>
      <c r="F6" s="10">
        <v>68.599999999999994</v>
      </c>
      <c r="G6" s="35"/>
      <c r="H6" s="35"/>
      <c r="I6" s="35"/>
      <c r="J6" s="35"/>
      <c r="K6" s="35">
        <v>2000</v>
      </c>
      <c r="L6" s="35" t="s">
        <v>2690</v>
      </c>
      <c r="M6" s="35" t="s">
        <v>1968</v>
      </c>
      <c r="N6" s="35" t="s">
        <v>3017</v>
      </c>
      <c r="O6" s="35" t="s">
        <v>2350</v>
      </c>
      <c r="P6" s="35" t="s">
        <v>2362</v>
      </c>
      <c r="Q6" s="35"/>
      <c r="R6" s="35"/>
      <c r="S6" s="35"/>
      <c r="T6" s="35"/>
      <c r="U6" s="31"/>
    </row>
    <row r="7" spans="1:21" ht="16.5" x14ac:dyDescent="0.25">
      <c r="A7" s="28"/>
      <c r="B7" s="24">
        <v>5</v>
      </c>
      <c r="C7" s="24" t="s">
        <v>3016</v>
      </c>
      <c r="D7" s="24"/>
      <c r="E7" s="24">
        <v>64.5</v>
      </c>
      <c r="F7" s="10">
        <v>82.9</v>
      </c>
      <c r="G7" s="35"/>
      <c r="H7" s="35"/>
      <c r="I7" s="35"/>
      <c r="J7" s="35"/>
      <c r="K7" s="35">
        <v>2000</v>
      </c>
      <c r="L7" s="35" t="s">
        <v>2690</v>
      </c>
      <c r="M7" s="35" t="s">
        <v>2704</v>
      </c>
      <c r="N7" s="35" t="s">
        <v>3018</v>
      </c>
      <c r="O7" s="35" t="s">
        <v>2350</v>
      </c>
      <c r="P7" s="35" t="s">
        <v>2363</v>
      </c>
      <c r="Q7" s="35"/>
      <c r="R7" s="35"/>
      <c r="S7" s="35"/>
      <c r="T7" s="35"/>
      <c r="U7" s="31"/>
    </row>
    <row r="8" spans="1:21" ht="16.5" x14ac:dyDescent="0.25">
      <c r="A8" s="28"/>
      <c r="B8" s="24">
        <v>6</v>
      </c>
      <c r="C8" s="24" t="s">
        <v>3016</v>
      </c>
      <c r="D8" s="24"/>
      <c r="E8" s="24">
        <v>82</v>
      </c>
      <c r="F8" s="10">
        <v>100.9</v>
      </c>
      <c r="G8" s="35"/>
      <c r="H8" s="35"/>
      <c r="I8" s="35"/>
      <c r="J8" s="35"/>
      <c r="K8" s="35">
        <v>2000</v>
      </c>
      <c r="L8" s="35" t="s">
        <v>2690</v>
      </c>
      <c r="M8" s="35" t="s">
        <v>2705</v>
      </c>
      <c r="N8" s="35" t="s">
        <v>3019</v>
      </c>
      <c r="O8" s="35" t="s">
        <v>2350</v>
      </c>
      <c r="P8" s="35" t="s">
        <v>2362</v>
      </c>
      <c r="Q8" s="35"/>
      <c r="R8" s="35"/>
      <c r="S8" s="35"/>
      <c r="T8" s="35"/>
      <c r="U8" s="31"/>
    </row>
    <row r="9" spans="1:21" ht="16.5" x14ac:dyDescent="0.25">
      <c r="A9" s="28"/>
      <c r="B9" s="24">
        <v>7</v>
      </c>
      <c r="C9" s="24" t="s">
        <v>3016</v>
      </c>
      <c r="D9" s="24"/>
      <c r="E9" s="24">
        <v>99.5</v>
      </c>
      <c r="F9" s="10">
        <v>127.5</v>
      </c>
      <c r="G9" s="35"/>
      <c r="H9" s="35"/>
      <c r="I9" s="35"/>
      <c r="J9" s="35"/>
      <c r="K9" s="35">
        <v>2000</v>
      </c>
      <c r="L9" s="35" t="s">
        <v>2690</v>
      </c>
      <c r="M9" s="35" t="s">
        <v>2706</v>
      </c>
      <c r="N9" s="35" t="s">
        <v>3017</v>
      </c>
      <c r="O9" s="35" t="s">
        <v>2352</v>
      </c>
      <c r="P9" s="35" t="s">
        <v>2362</v>
      </c>
      <c r="Q9" s="35"/>
      <c r="R9" s="35"/>
      <c r="S9" s="35"/>
      <c r="T9" s="35"/>
      <c r="U9" s="31"/>
    </row>
    <row r="10" spans="1:21" ht="16.5" x14ac:dyDescent="0.25">
      <c r="A10" s="28"/>
      <c r="B10" s="24">
        <v>8</v>
      </c>
      <c r="C10" s="24" t="s">
        <v>3016</v>
      </c>
      <c r="D10" s="24"/>
      <c r="E10" s="24">
        <v>117</v>
      </c>
      <c r="F10" s="10">
        <v>118.3</v>
      </c>
      <c r="G10" s="35"/>
      <c r="H10" s="35"/>
      <c r="I10" s="35"/>
      <c r="J10" s="35"/>
      <c r="K10" s="35">
        <v>2000</v>
      </c>
      <c r="L10" s="35" t="s">
        <v>2690</v>
      </c>
      <c r="M10" s="35" t="s">
        <v>2709</v>
      </c>
      <c r="N10" s="35" t="s">
        <v>3018</v>
      </c>
      <c r="O10" s="35" t="s">
        <v>2352</v>
      </c>
      <c r="P10" s="35" t="s">
        <v>2363</v>
      </c>
      <c r="Q10" s="35"/>
      <c r="R10" s="35"/>
      <c r="S10" s="35"/>
      <c r="T10" s="35"/>
      <c r="U10" s="31"/>
    </row>
    <row r="11" spans="1:21" ht="16.5" x14ac:dyDescent="0.25">
      <c r="A11" s="28"/>
      <c r="B11" s="24">
        <v>9</v>
      </c>
      <c r="C11" s="24" t="s">
        <v>3016</v>
      </c>
      <c r="D11" s="24"/>
      <c r="E11" s="24">
        <v>134.5</v>
      </c>
      <c r="F11" s="10">
        <v>114.2</v>
      </c>
      <c r="G11" s="35"/>
      <c r="H11" s="35"/>
      <c r="I11" s="35"/>
      <c r="J11" s="35"/>
      <c r="K11" s="35">
        <v>2000</v>
      </c>
      <c r="L11" s="35" t="s">
        <v>2690</v>
      </c>
      <c r="M11" s="35" t="s">
        <v>1974</v>
      </c>
      <c r="N11" s="35" t="s">
        <v>3019</v>
      </c>
      <c r="O11" s="35" t="s">
        <v>2352</v>
      </c>
      <c r="P11" s="35" t="s">
        <v>2362</v>
      </c>
      <c r="Q11" s="35"/>
      <c r="R11" s="35"/>
      <c r="S11" s="35"/>
      <c r="T11" s="35"/>
      <c r="U11" s="31"/>
    </row>
    <row r="12" spans="1:21" ht="17.25" thickBot="1" x14ac:dyDescent="0.3">
      <c r="A12" s="32"/>
      <c r="B12" s="25">
        <v>10</v>
      </c>
      <c r="C12" s="25" t="s">
        <v>3016</v>
      </c>
      <c r="D12" s="25"/>
      <c r="E12" s="25">
        <v>152</v>
      </c>
      <c r="F12" s="16">
        <v>58.9</v>
      </c>
      <c r="G12" s="33"/>
      <c r="H12" s="33"/>
      <c r="I12" s="33"/>
      <c r="J12" s="33"/>
      <c r="K12" s="33">
        <v>2000</v>
      </c>
      <c r="L12" s="33" t="s">
        <v>2690</v>
      </c>
      <c r="M12" s="33" t="s">
        <v>2694</v>
      </c>
      <c r="N12" s="33" t="s">
        <v>3017</v>
      </c>
      <c r="O12" s="33" t="s">
        <v>2352</v>
      </c>
      <c r="P12" s="33" t="s">
        <v>2362</v>
      </c>
      <c r="Q12" s="33"/>
      <c r="R12" s="33"/>
      <c r="S12" s="33"/>
      <c r="T12" s="33"/>
      <c r="U12" s="34"/>
    </row>
  </sheetData>
  <phoneticPr fontId="23" type="noConversion"/>
  <conditionalFormatting sqref="A1:U12">
    <cfRule type="containsText" dxfId="84" priority="14" stopIfTrue="1" operator="containsText" text="шт.)">
      <formula>NOT(ISERROR(SEARCH("шт.)",A1)))</formula>
    </cfRule>
    <cfRule type="containsText" dxfId="83" priority="13" stopIfTrue="1" operator="containsText" text=", на ">
      <formula>NOT(ISERROR(SEARCH(", на ",A1)))</formula>
    </cfRule>
    <cfRule type="containsText" dxfId="82" priority="12" stopIfTrue="1" operator="containsText" text="Элементы на отм.">
      <formula>NOT(ISERROR(SEARCH("Элементы на отм.",A1)))</formula>
    </cfRule>
    <cfRule type="containsText" dxfId="81" priority="11" stopIfTrue="1" operator="containsText" text=" Прокат ">
      <formula>NOT(ISERROR(SEARCH(" Прокат ",A1)))</formula>
    </cfRule>
    <cfRule type="containsText" dxfId="80" priority="10" stopIfTrue="1" operator="containsText" text=" Изделия арматурные ">
      <formula>NOT(ISERROR(SEARCH(" Изделия арматурные ",A1)))</formula>
    </cfRule>
    <cfRule type="containsText" dxfId="79" priority="9" stopIfTrue="1" operator="containsText" text=" Материалы ">
      <formula>NOT(ISERROR(SEARCH(" Материалы ",A1)))</formula>
    </cfRule>
    <cfRule type="containsText" dxfId="78" priority="8" stopIfTrue="1" operator="containsText" text=" Изделия ">
      <formula>NOT(ISERROR(SEARCH(" Изделия ",A1)))</formula>
    </cfRule>
    <cfRule type="containsText" dxfId="77" priority="7" stopIfTrue="1" operator="containsText" text=" Сборочные единицы ">
      <formula>NOT(ISERROR(SEARCH(" Сборочные единицы ",A1)))</formula>
    </cfRule>
    <cfRule type="containsText" dxfId="76" priority="6" stopIfTrue="1" operator="containsText" text=" Заполнения проёмов ">
      <formula>NOT(ISERROR(SEARCH(" Заполнения проёмов ",A1)))</formula>
    </cfRule>
    <cfRule type="containsText" dxfId="75" priority="5" stopIfTrue="1" operator="containsText" text=" Сборочные единицы ">
      <formula>NOT(ISERROR(SEARCH(" Сборочные единицы ",A1)))</formula>
    </cfRule>
    <cfRule type="containsText" dxfId="74" priority="4" stopIfTrue="1" operator="containsText" text=" Заполнения проёмов ">
      <formula>NOT(ISERROR(SEARCH(" Заполнения проёмов ",A1)))</formula>
    </cfRule>
    <cfRule type="containsText" dxfId="73" priority="3" stopIfTrue="1" operator="containsText" text="!!!">
      <formula>NOT(ISERROR(SEARCH("!!!",A1)))</formula>
    </cfRule>
    <cfRule type="containsText" dxfId="72" priority="2" stopIfTrue="1" operator="containsText" text="ИЗ ФАЙЛА">
      <formula>NOT(ISERROR(SEARCH("ИЗ ФАЙЛА",A1)))</formula>
    </cfRule>
    <cfRule type="containsText" dxfId="71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errorStyle="warning" allowBlank="1" showInputMessage="1" showErrorMessage="1" xr:uid="{567BB11B-6501-4961-99DB-8553096E1209}">
          <x14:formula1>
            <xm:f>'!System'!$BW$1:$BW$6</xm:f>
          </x14:formula1>
          <xm:sqref>G3:G12</xm:sqref>
        </x14:dataValidation>
        <x14:dataValidation type="list" allowBlank="1" showInputMessage="1" showErrorMessage="1" xr:uid="{AC797183-4AF5-46D8-B095-901A1491503A}">
          <x14:formula1>
            <xm:f>'!System'!$AG$1:$AO$1</xm:f>
          </x14:formula1>
          <xm:sqref>J3:J12</xm:sqref>
        </x14:dataValidation>
        <x14:dataValidation type="list" allowBlank="1" showInputMessage="1" showErrorMessage="1" xr:uid="{53A58E44-8C7A-4050-8B3F-262218129993}">
          <x14:formula1>
            <xm:f>'!System'!$A$1:$AE$1</xm:f>
          </x14:formula1>
          <xm:sqref>L3:L12</xm:sqref>
        </x14:dataValidation>
        <x14:dataValidation type="list" allowBlank="1" showInputMessage="1" showErrorMessage="1" xr:uid="{D0821A56-87AD-43B4-9A09-302C882F6407}">
          <x14:formula1>
            <xm:f>'!System'!$AP$1:$BV$1</xm:f>
          </x14:formula1>
          <xm:sqref>O3:O12</xm:sqref>
        </x14:dataValidation>
        <x14:dataValidation type="list" allowBlank="1" showInputMessage="1" showErrorMessage="1" xr:uid="{AC287D01-771D-4C54-A583-141F804305A6}">
          <x14:formula1>
            <xm:f>'!System'!$BX$1:$BX$5</xm:f>
          </x14:formula1>
          <xm:sqref>P3:P12</xm:sqref>
        </x14:dataValidation>
        <x14:dataValidation type="list" allowBlank="1" showInputMessage="1" showErrorMessage="1" xr:uid="{5577A25F-A25F-4744-98EA-618D3614D7A0}">
          <x14:formula1>
            <xm:f>'!System'!$O$3:$O$91</xm:f>
          </x14:formula1>
          <xm:sqref>M3</xm:sqref>
        </x14:dataValidation>
        <x14:dataValidation type="list" allowBlank="1" showInputMessage="1" showErrorMessage="1" xr:uid="{7A2DE1DC-7AB0-4574-8985-3CCE360BBA78}">
          <x14:formula1>
            <xm:f>'!System'!$M$3:$M$68</xm:f>
          </x14:formula1>
          <xm:sqref>M4 M5 M6 M7 M8 M9 M10 M11 M12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4">
    <tabColor theme="8" tint="0.499984740745262"/>
  </sheetPr>
  <dimension ref="A1:U20"/>
  <sheetViews>
    <sheetView zoomScale="70" zoomScaleNormal="70" workbookViewId="0">
      <selection activeCell="F39" sqref="F39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6.5" x14ac:dyDescent="0.25">
      <c r="A1" s="40" t="s">
        <v>2372</v>
      </c>
      <c r="B1" s="38" t="s">
        <v>2368</v>
      </c>
      <c r="C1" s="38" t="s">
        <v>2369</v>
      </c>
      <c r="D1" s="38" t="s">
        <v>2370</v>
      </c>
      <c r="E1" s="38" t="s">
        <v>2373</v>
      </c>
      <c r="F1" s="38" t="s">
        <v>2374</v>
      </c>
      <c r="G1" s="38" t="s">
        <v>2375</v>
      </c>
      <c r="H1" s="42" t="s">
        <v>2377</v>
      </c>
      <c r="I1" s="43"/>
      <c r="J1" s="44"/>
      <c r="K1" s="42" t="s">
        <v>2371</v>
      </c>
      <c r="L1" s="43"/>
      <c r="M1" s="43"/>
      <c r="N1" s="43"/>
      <c r="O1" s="43"/>
      <c r="P1" s="43"/>
      <c r="Q1" s="44"/>
      <c r="R1" s="38" t="s">
        <v>2376</v>
      </c>
      <c r="S1" s="42" t="s">
        <v>2388</v>
      </c>
      <c r="T1" s="43"/>
      <c r="U1" s="45"/>
    </row>
    <row r="2" spans="1:21" ht="66" x14ac:dyDescent="0.25">
      <c r="A2" s="41"/>
      <c r="B2" s="39"/>
      <c r="C2" s="39"/>
      <c r="D2" s="39"/>
      <c r="E2" s="39"/>
      <c r="F2" s="39"/>
      <c r="G2" s="39"/>
      <c r="H2" s="26" t="s">
        <v>2378</v>
      </c>
      <c r="I2" s="26" t="s">
        <v>2379</v>
      </c>
      <c r="J2" s="26" t="s">
        <v>2380</v>
      </c>
      <c r="K2" s="26" t="s">
        <v>2381</v>
      </c>
      <c r="L2" s="26" t="s">
        <v>2382</v>
      </c>
      <c r="M2" s="26" t="s">
        <v>2383</v>
      </c>
      <c r="N2" s="26" t="s">
        <v>2384</v>
      </c>
      <c r="O2" s="26" t="s">
        <v>2385</v>
      </c>
      <c r="P2" s="26" t="s">
        <v>2386</v>
      </c>
      <c r="Q2" s="26" t="s">
        <v>2387</v>
      </c>
      <c r="R2" s="39"/>
      <c r="S2" s="26" t="s">
        <v>2389</v>
      </c>
      <c r="T2" s="26" t="s">
        <v>2390</v>
      </c>
      <c r="U2" s="31" t="s">
        <v>2391</v>
      </c>
    </row>
    <row r="3" spans="1:21" ht="16.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6.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6.5" x14ac:dyDescent="0.25">
      <c r="A5" s="17" t="s">
        <v>2646</v>
      </c>
      <c r="B5" s="18" t="str">
        <f>A5</f>
        <v>Крп20</v>
      </c>
      <c r="C5" s="18" t="s">
        <v>2466</v>
      </c>
      <c r="D5" s="18" t="s">
        <v>2647</v>
      </c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9"/>
    </row>
    <row r="6" spans="1:21" ht="33" x14ac:dyDescent="0.25">
      <c r="A6" s="28" t="str">
        <f>A5</f>
        <v>Крп20</v>
      </c>
      <c r="B6" s="26">
        <v>1</v>
      </c>
      <c r="C6" s="26" t="s">
        <v>2470</v>
      </c>
      <c r="D6" s="26" t="s">
        <v>2395</v>
      </c>
      <c r="E6" s="26">
        <v>9</v>
      </c>
      <c r="F6" s="10">
        <v>0.61699999999999999</v>
      </c>
      <c r="G6" s="26"/>
      <c r="H6" s="26">
        <f>165</f>
        <v>165</v>
      </c>
      <c r="I6" s="26">
        <v>10</v>
      </c>
      <c r="J6" s="26" t="s">
        <v>1</v>
      </c>
      <c r="K6" s="26"/>
      <c r="L6" s="26"/>
      <c r="M6" s="26"/>
      <c r="N6" s="26"/>
      <c r="O6" s="26"/>
      <c r="P6" s="26"/>
      <c r="Q6" s="26"/>
      <c r="R6" s="26"/>
      <c r="S6" s="26" t="s">
        <v>2394</v>
      </c>
      <c r="T6" s="26" t="s">
        <v>2394</v>
      </c>
      <c r="U6" s="31">
        <v>12.5</v>
      </c>
    </row>
    <row r="7" spans="1:21" ht="33" x14ac:dyDescent="0.25">
      <c r="A7" s="28" t="str">
        <f>A5</f>
        <v>Крп20</v>
      </c>
      <c r="B7" s="26">
        <v>2</v>
      </c>
      <c r="C7" s="26" t="s">
        <v>2470</v>
      </c>
      <c r="D7" s="26" t="s">
        <v>2396</v>
      </c>
      <c r="E7" s="26">
        <v>2</v>
      </c>
      <c r="F7" s="10">
        <v>0.61699999999999999</v>
      </c>
      <c r="G7" s="26"/>
      <c r="H7" s="26">
        <v>1280</v>
      </c>
      <c r="I7" s="26">
        <v>10</v>
      </c>
      <c r="J7" s="26" t="s">
        <v>1</v>
      </c>
      <c r="K7" s="26"/>
      <c r="L7" s="26"/>
      <c r="M7" s="26"/>
      <c r="N7" s="26"/>
      <c r="O7" s="26"/>
      <c r="P7" s="26"/>
      <c r="Q7" s="26"/>
      <c r="R7" s="26"/>
      <c r="S7" s="26" t="s">
        <v>2394</v>
      </c>
      <c r="T7" s="26" t="s">
        <v>2394</v>
      </c>
      <c r="U7" s="31">
        <v>12.5</v>
      </c>
    </row>
    <row r="8" spans="1:21" ht="16.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6.5" x14ac:dyDescent="0.25">
      <c r="A9" s="17" t="s">
        <v>2620</v>
      </c>
      <c r="B9" s="18" t="str">
        <f>A9</f>
        <v>Мн1</v>
      </c>
      <c r="C9" s="18" t="s">
        <v>2467</v>
      </c>
      <c r="D9" s="18" t="s">
        <v>2621</v>
      </c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9"/>
    </row>
    <row r="10" spans="1:21" ht="16.5" x14ac:dyDescent="0.25">
      <c r="A10" s="28" t="s">
        <v>2620</v>
      </c>
      <c r="B10" s="24">
        <v>1</v>
      </c>
      <c r="C10" s="24" t="s">
        <v>2463</v>
      </c>
      <c r="D10" s="24" t="s">
        <v>2623</v>
      </c>
      <c r="E10" s="24">
        <v>1</v>
      </c>
      <c r="F10" s="10">
        <v>78.5</v>
      </c>
      <c r="G10" s="26"/>
      <c r="H10" s="26"/>
      <c r="I10" s="26"/>
      <c r="J10" s="26"/>
      <c r="K10" s="10">
        <v>48400</v>
      </c>
      <c r="L10" s="26" t="s">
        <v>2420</v>
      </c>
      <c r="M10" s="26" t="s">
        <v>2430</v>
      </c>
      <c r="N10" s="26"/>
      <c r="O10" s="26" t="s">
        <v>6</v>
      </c>
      <c r="P10" s="26"/>
      <c r="Q10" s="26"/>
      <c r="R10" s="26"/>
      <c r="S10" s="26"/>
      <c r="T10" s="26"/>
      <c r="U10" s="31"/>
    </row>
    <row r="11" spans="1:21" ht="33" x14ac:dyDescent="0.25">
      <c r="A11" s="28" t="s">
        <v>2620</v>
      </c>
      <c r="B11" s="26">
        <v>2</v>
      </c>
      <c r="C11" s="26" t="s">
        <v>2470</v>
      </c>
      <c r="D11" s="26" t="s">
        <v>2622</v>
      </c>
      <c r="E11" s="26">
        <v>4</v>
      </c>
      <c r="F11" s="10">
        <v>1.208</v>
      </c>
      <c r="G11" s="26"/>
      <c r="H11" s="26">
        <v>170</v>
      </c>
      <c r="I11" s="26">
        <v>14</v>
      </c>
      <c r="J11" s="26" t="s">
        <v>2</v>
      </c>
      <c r="K11" s="26"/>
      <c r="L11" s="26"/>
      <c r="M11" s="26"/>
      <c r="N11" s="26"/>
      <c r="O11" s="26"/>
      <c r="P11" s="26"/>
      <c r="Q11" s="26"/>
      <c r="R11" s="26"/>
      <c r="S11" s="26" t="s">
        <v>2394</v>
      </c>
      <c r="T11" s="26" t="s">
        <v>2394</v>
      </c>
      <c r="U11" s="31">
        <v>35</v>
      </c>
    </row>
    <row r="12" spans="1:21" ht="16.5" x14ac:dyDescent="0.25">
      <c r="A12" s="28" t="s">
        <v>2620</v>
      </c>
      <c r="B12" s="24">
        <v>3</v>
      </c>
      <c r="C12" s="24" t="s">
        <v>2463</v>
      </c>
      <c r="D12" s="24" t="s">
        <v>2624</v>
      </c>
      <c r="E12" s="24">
        <v>4</v>
      </c>
      <c r="F12" s="10">
        <v>62.8</v>
      </c>
      <c r="G12" s="26"/>
      <c r="H12" s="26"/>
      <c r="I12" s="26"/>
      <c r="J12" s="26"/>
      <c r="K12" s="10">
        <v>1600</v>
      </c>
      <c r="L12" s="26" t="s">
        <v>2420</v>
      </c>
      <c r="M12" s="26" t="s">
        <v>2428</v>
      </c>
      <c r="N12" s="26"/>
      <c r="O12" s="26" t="s">
        <v>6</v>
      </c>
      <c r="P12" s="26"/>
      <c r="Q12" s="26"/>
      <c r="R12" s="26"/>
      <c r="S12" s="26"/>
      <c r="T12" s="26"/>
      <c r="U12" s="31"/>
    </row>
    <row r="13" spans="1:21" ht="16.5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6.5" x14ac:dyDescent="0.25">
      <c r="A14" s="17" t="s">
        <v>2626</v>
      </c>
      <c r="B14" s="18" t="str">
        <f>A14</f>
        <v>Му1</v>
      </c>
      <c r="C14" s="18" t="s">
        <v>2467</v>
      </c>
      <c r="D14" s="18" t="s">
        <v>2625</v>
      </c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9"/>
    </row>
    <row r="15" spans="1:21" ht="16.5" x14ac:dyDescent="0.25">
      <c r="A15" s="28" t="str">
        <f>A14</f>
        <v>Му1</v>
      </c>
      <c r="B15" s="24">
        <v>1</v>
      </c>
      <c r="C15" s="24" t="s">
        <v>2468</v>
      </c>
      <c r="D15" s="24" t="s">
        <v>2627</v>
      </c>
      <c r="E15" s="24">
        <v>1</v>
      </c>
      <c r="F15" s="10">
        <v>78.5</v>
      </c>
      <c r="G15" s="26"/>
      <c r="H15" s="26"/>
      <c r="I15" s="26"/>
      <c r="J15" s="26"/>
      <c r="K15" s="26">
        <v>100</v>
      </c>
      <c r="L15" s="26" t="s">
        <v>2020</v>
      </c>
      <c r="M15" s="26" t="s">
        <v>2139</v>
      </c>
      <c r="N15" s="26"/>
      <c r="O15" s="26" t="s">
        <v>6</v>
      </c>
      <c r="P15" s="26"/>
      <c r="Q15" s="26"/>
      <c r="R15" s="26"/>
      <c r="S15" s="26"/>
      <c r="T15" s="26"/>
      <c r="U15" s="31"/>
    </row>
    <row r="16" spans="1:21" ht="16.5" x14ac:dyDescent="0.25">
      <c r="A16" s="28" t="str">
        <f>A15</f>
        <v>Му1</v>
      </c>
      <c r="B16" s="24">
        <v>3</v>
      </c>
      <c r="C16" s="24" t="s">
        <v>2463</v>
      </c>
      <c r="D16" s="24" t="s">
        <v>2628</v>
      </c>
      <c r="E16" s="24">
        <v>1</v>
      </c>
      <c r="F16" s="10">
        <v>62.8</v>
      </c>
      <c r="G16" s="26"/>
      <c r="H16" s="26"/>
      <c r="I16" s="26"/>
      <c r="J16" s="26"/>
      <c r="K16" s="10">
        <v>9025</v>
      </c>
      <c r="L16" s="26" t="s">
        <v>2420</v>
      </c>
      <c r="M16" s="26" t="s">
        <v>2428</v>
      </c>
      <c r="N16" s="26"/>
      <c r="O16" s="26" t="s">
        <v>6</v>
      </c>
      <c r="P16" s="26"/>
      <c r="Q16" s="26"/>
      <c r="R16" s="26"/>
      <c r="S16" s="26"/>
      <c r="T16" s="26"/>
      <c r="U16" s="31"/>
    </row>
    <row r="17" spans="1:21" ht="16.5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6.5" x14ac:dyDescent="0.25">
      <c r="A18" s="17" t="s">
        <v>2630</v>
      </c>
      <c r="B18" s="18" t="str">
        <f>A18</f>
        <v>Му2</v>
      </c>
      <c r="C18" s="18" t="s">
        <v>2467</v>
      </c>
      <c r="D18" s="18" t="s">
        <v>2629</v>
      </c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9"/>
    </row>
    <row r="19" spans="1:21" ht="16.5" x14ac:dyDescent="0.25">
      <c r="A19" s="28" t="str">
        <f>A18</f>
        <v>Му2</v>
      </c>
      <c r="B19" s="24">
        <v>1</v>
      </c>
      <c r="C19" s="24" t="s">
        <v>2468</v>
      </c>
      <c r="D19" s="24" t="s">
        <v>2627</v>
      </c>
      <c r="E19" s="24">
        <v>1</v>
      </c>
      <c r="F19" s="10">
        <v>78.5</v>
      </c>
      <c r="G19" s="26"/>
      <c r="H19" s="26"/>
      <c r="I19" s="26"/>
      <c r="J19" s="26"/>
      <c r="K19" s="26">
        <v>200</v>
      </c>
      <c r="L19" s="26" t="s">
        <v>2020</v>
      </c>
      <c r="M19" s="26" t="s">
        <v>2127</v>
      </c>
      <c r="N19" s="26"/>
      <c r="O19" s="26" t="s">
        <v>6</v>
      </c>
      <c r="P19" s="26"/>
      <c r="Q19" s="26"/>
      <c r="R19" s="26"/>
      <c r="S19" s="26"/>
      <c r="T19" s="26"/>
      <c r="U19" s="31"/>
    </row>
    <row r="20" spans="1:21" ht="17.25" thickBot="1" x14ac:dyDescent="0.3">
      <c r="A20" s="32" t="str">
        <f>A19</f>
        <v>Му2</v>
      </c>
      <c r="B20" s="25">
        <v>3</v>
      </c>
      <c r="C20" s="25" t="s">
        <v>2463</v>
      </c>
      <c r="D20" s="25" t="s">
        <v>2628</v>
      </c>
      <c r="E20" s="25">
        <v>1</v>
      </c>
      <c r="F20" s="16">
        <v>62.8</v>
      </c>
      <c r="G20" s="33"/>
      <c r="H20" s="33"/>
      <c r="I20" s="33"/>
      <c r="J20" s="33"/>
      <c r="K20" s="16">
        <v>9025</v>
      </c>
      <c r="L20" s="33" t="s">
        <v>2420</v>
      </c>
      <c r="M20" s="33" t="s">
        <v>2428</v>
      </c>
      <c r="N20" s="33"/>
      <c r="O20" s="33" t="s">
        <v>6</v>
      </c>
      <c r="P20" s="33"/>
      <c r="Q20" s="33"/>
      <c r="R20" s="33"/>
      <c r="S20" s="33"/>
      <c r="T20" s="33"/>
      <c r="U20" s="34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20 H2:Q2 K1 R1:S1 S2:U2">
    <cfRule type="containsText" dxfId="389" priority="2" stopIfTrue="1" operator="containsText" text="С ЛИСТА">
      <formula>NOT(ISERROR(SEARCH("С ЛИСТА",A1)))</formula>
    </cfRule>
    <cfRule type="containsText" dxfId="388" priority="3" stopIfTrue="1" operator="containsText" text="ИЗ ФАЙЛА">
      <formula>NOT(ISERROR(SEARCH("ИЗ ФАЙЛА",A1)))</formula>
    </cfRule>
    <cfRule type="containsText" dxfId="387" priority="4" stopIfTrue="1" operator="containsText" text="!!!">
      <formula>NOT(ISERROR(SEARCH("!!!",A1)))</formula>
    </cfRule>
    <cfRule type="containsText" dxfId="386" priority="5" stopIfTrue="1" operator="containsText" text=" Заполнения проёмов ">
      <formula>NOT(ISERROR(SEARCH(" Заполнения проёмов ",A1)))</formula>
    </cfRule>
    <cfRule type="containsText" dxfId="385" priority="6" stopIfTrue="1" operator="containsText" text=" Сборочные единицы ">
      <formula>NOT(ISERROR(SEARCH(" Сборочные единицы ",A1)))</formula>
    </cfRule>
    <cfRule type="containsText" dxfId="384" priority="7" stopIfTrue="1" operator="containsText" text=" Заполнения проёмов ">
      <formula>NOT(ISERROR(SEARCH(" Заполнения проёмов ",A1)))</formula>
    </cfRule>
    <cfRule type="containsText" dxfId="383" priority="8" stopIfTrue="1" operator="containsText" text=" Сборочные единицы ">
      <formula>NOT(ISERROR(SEARCH(" Сборочные единицы ",A1)))</formula>
    </cfRule>
    <cfRule type="containsText" dxfId="382" priority="9" stopIfTrue="1" operator="containsText" text=" Изделия ">
      <formula>NOT(ISERROR(SEARCH(" Изделия ",A1)))</formula>
    </cfRule>
    <cfRule type="containsText" dxfId="381" priority="10" stopIfTrue="1" operator="containsText" text=" Материалы ">
      <formula>NOT(ISERROR(SEARCH(" Материалы ",A1)))</formula>
    </cfRule>
    <cfRule type="containsText" dxfId="380" priority="11" stopIfTrue="1" operator="containsText" text=" Изделия арматурные ">
      <formula>NOT(ISERROR(SEARCH(" Изделия арматурные ",A1)))</formula>
    </cfRule>
    <cfRule type="containsText" dxfId="379" priority="12" stopIfTrue="1" operator="containsText" text=" Прокат ">
      <formula>NOT(ISERROR(SEARCH(" Прокат ",A1)))</formula>
    </cfRule>
    <cfRule type="containsText" dxfId="378" priority="13" stopIfTrue="1" operator="containsText" text="Элементы на отм.">
      <formula>NOT(ISERROR(SEARCH("Элементы на отм.",A1)))</formula>
    </cfRule>
    <cfRule type="containsText" dxfId="377" priority="14" stopIfTrue="1" operator="containsText" text=", на ">
      <formula>NOT(ISERROR(SEARCH(", на ",A1)))</formula>
    </cfRule>
    <cfRule type="containsText" dxfId="376" priority="15" stopIfTrue="1" operator="containsText" text="шт.)">
      <formula>NOT(ISERROR(SEARCH("шт.)",A1)))</formula>
    </cfRule>
  </conditionalFormatting>
  <conditionalFormatting sqref="A1:U1048576">
    <cfRule type="expression" dxfId="375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errorStyle="warning" allowBlank="1" showInputMessage="1" showErrorMessage="1" xr:uid="{00000000-0002-0000-0300-000000000000}">
          <x14:formula1>
            <xm:f>#REF!</xm:f>
          </x14:formula1>
          <xm:sqref>G3:G20</xm:sqref>
        </x14:dataValidation>
        <x14:dataValidation type="list" allowBlank="1" showInputMessage="1" showErrorMessage="1" xr:uid="{00000000-0002-0000-0300-000001000000}">
          <x14:formula1>
            <xm:f>#REF!</xm:f>
          </x14:formula1>
          <xm:sqref>J3:J20</xm:sqref>
        </x14:dataValidation>
        <x14:dataValidation type="list" allowBlank="1" showInputMessage="1" showErrorMessage="1" xr:uid="{00000000-0002-0000-0300-000002000000}">
          <x14:formula1>
            <xm:f>#REF!</xm:f>
          </x14:formula1>
          <xm:sqref>L3:L20</xm:sqref>
        </x14:dataValidation>
        <x14:dataValidation type="list" allowBlank="1" showInputMessage="1" showErrorMessage="1" xr:uid="{00000000-0002-0000-0300-000003000000}">
          <x14:formula1>
            <xm:f>#REF!</xm:f>
          </x14:formula1>
          <xm:sqref>O3:O20</xm:sqref>
        </x14:dataValidation>
        <x14:dataValidation type="list" allowBlank="1" showInputMessage="1" showErrorMessage="1" xr:uid="{00000000-0002-0000-0300-000004000000}">
          <x14:formula1>
            <xm:f>#REF!</xm:f>
          </x14:formula1>
          <xm:sqref>P3:P20</xm:sqref>
        </x14:dataValidation>
        <x14:dataValidation type="list" allowBlank="1" showInputMessage="1" showErrorMessage="1" xr:uid="{00000000-0002-0000-0300-000005000000}">
          <x14:formula1>
            <xm:f>#REF!</xm:f>
          </x14:formula1>
          <xm:sqref>I6:I7</xm:sqref>
        </x14:dataValidation>
        <x14:dataValidation type="list" allowBlank="1" showInputMessage="1" showErrorMessage="1" xr:uid="{00000000-0002-0000-0300-000007000000}">
          <x14:formula1>
            <xm:f>#REF!</xm:f>
          </x14:formula1>
          <xm:sqref>M10 M20 M16 M12</xm:sqref>
        </x14:dataValidation>
        <x14:dataValidation type="list" allowBlank="1" showInputMessage="1" showErrorMessage="1" xr:uid="{00000000-0002-0000-0300-000008000000}">
          <x14:formula1>
            <xm:f>#REF!</xm:f>
          </x14:formula1>
          <xm:sqref>I11</xm:sqref>
        </x14:dataValidation>
        <x14:dataValidation type="list" allowBlank="1" showInputMessage="1" showErrorMessage="1" xr:uid="{00000000-0002-0000-0300-00000A000000}">
          <x14:formula1>
            <xm:f>#REF!</xm:f>
          </x14:formula1>
          <xm:sqref>M15 M19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0CB22-2CDF-4767-B08F-2AFAA11C8450}">
  <sheetPr codeName="Лист3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7</v>
      </c>
      <c r="B1" t="s">
        <v>813</v>
      </c>
      <c r="C1" t="s">
        <v>1145</v>
      </c>
      <c r="D1" t="s">
        <v>1575</v>
      </c>
      <c r="E1" t="s">
        <v>2667</v>
      </c>
      <c r="F1" t="s">
        <v>1752</v>
      </c>
      <c r="G1" t="s">
        <v>1914</v>
      </c>
      <c r="H1" t="s">
        <v>1933</v>
      </c>
      <c r="I1" t="s">
        <v>1964</v>
      </c>
      <c r="J1" t="s">
        <v>1995</v>
      </c>
      <c r="K1" t="s">
        <v>2012</v>
      </c>
      <c r="L1" t="s">
        <v>2668</v>
      </c>
      <c r="M1" t="s">
        <v>2690</v>
      </c>
      <c r="N1" t="s">
        <v>2735</v>
      </c>
      <c r="O1" t="s">
        <v>2809</v>
      </c>
      <c r="P1" t="s">
        <v>2824</v>
      </c>
      <c r="Q1" t="s">
        <v>2880</v>
      </c>
      <c r="R1" t="s">
        <v>2020</v>
      </c>
      <c r="S1" t="s">
        <v>2142</v>
      </c>
      <c r="T1" t="s">
        <v>2205</v>
      </c>
      <c r="U1" t="s">
        <v>2320</v>
      </c>
      <c r="V1" t="s">
        <v>2420</v>
      </c>
      <c r="W1" t="s">
        <v>2471</v>
      </c>
      <c r="X1" t="s">
        <v>2480</v>
      </c>
      <c r="Y1" t="s">
        <v>2619</v>
      </c>
      <c r="Z1" t="s">
        <v>5</v>
      </c>
      <c r="AA1" t="s">
        <v>2909</v>
      </c>
      <c r="AB1" t="s">
        <v>2925</v>
      </c>
      <c r="AC1" t="s">
        <v>2940</v>
      </c>
      <c r="AD1" t="s">
        <v>2949</v>
      </c>
      <c r="AG1" t="s">
        <v>2</v>
      </c>
      <c r="AH1" t="s">
        <v>1</v>
      </c>
      <c r="AI1" t="s">
        <v>2346</v>
      </c>
      <c r="AJ1" t="s">
        <v>2343</v>
      </c>
      <c r="AK1" t="s">
        <v>2344</v>
      </c>
      <c r="AL1" t="s">
        <v>2345</v>
      </c>
      <c r="AM1" t="s">
        <v>2347</v>
      </c>
      <c r="AN1" t="s">
        <v>2348</v>
      </c>
      <c r="AP1" t="s">
        <v>2349</v>
      </c>
      <c r="AQ1" t="s">
        <v>6</v>
      </c>
      <c r="AR1" t="s">
        <v>2350</v>
      </c>
      <c r="AS1" t="s">
        <v>2351</v>
      </c>
      <c r="AT1" t="s">
        <v>2352</v>
      </c>
      <c r="AU1" t="s">
        <v>2353</v>
      </c>
      <c r="AV1" t="s">
        <v>2354</v>
      </c>
      <c r="AW1" t="s">
        <v>2356</v>
      </c>
      <c r="AX1" t="s">
        <v>2963</v>
      </c>
      <c r="AY1" t="s">
        <v>2964</v>
      </c>
      <c r="AZ1" t="s">
        <v>2965</v>
      </c>
      <c r="BA1" t="s">
        <v>2966</v>
      </c>
      <c r="BB1" t="s">
        <v>2967</v>
      </c>
      <c r="BC1" t="s">
        <v>2968</v>
      </c>
      <c r="BD1" t="s">
        <v>2969</v>
      </c>
      <c r="BE1" t="s">
        <v>2970</v>
      </c>
      <c r="BF1" t="s">
        <v>2971</v>
      </c>
      <c r="BG1" t="s">
        <v>2352</v>
      </c>
      <c r="BH1" t="s">
        <v>2972</v>
      </c>
      <c r="BI1" t="s">
        <v>2973</v>
      </c>
      <c r="BJ1" t="s">
        <v>2974</v>
      </c>
      <c r="BK1" t="s">
        <v>2975</v>
      </c>
      <c r="BL1" t="s">
        <v>2976</v>
      </c>
      <c r="BM1" t="s">
        <v>2977</v>
      </c>
      <c r="BN1" t="s">
        <v>2978</v>
      </c>
      <c r="BO1" t="s">
        <v>2979</v>
      </c>
      <c r="BP1" t="s">
        <v>2980</v>
      </c>
      <c r="BQ1" t="s">
        <v>2981</v>
      </c>
      <c r="BR1" t="s">
        <v>2982</v>
      </c>
      <c r="BS1" t="s">
        <v>2983</v>
      </c>
      <c r="BT1" t="s">
        <v>2984</v>
      </c>
      <c r="BU1" t="s">
        <v>2985</v>
      </c>
      <c r="BW1" t="s">
        <v>0</v>
      </c>
      <c r="BX1" t="s">
        <v>4</v>
      </c>
    </row>
    <row r="2" spans="1:76" x14ac:dyDescent="0.25">
      <c r="A2" t="s">
        <v>8</v>
      </c>
      <c r="B2" t="s">
        <v>8</v>
      </c>
      <c r="F2" t="s">
        <v>1753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8</v>
      </c>
      <c r="AB2" t="s">
        <v>1753</v>
      </c>
      <c r="AC2" t="s">
        <v>1753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2419</v>
      </c>
      <c r="AQ2" t="s">
        <v>2419</v>
      </c>
      <c r="AR2" t="s">
        <v>2419</v>
      </c>
      <c r="AS2" t="s">
        <v>2419</v>
      </c>
      <c r="AT2" t="s">
        <v>2419</v>
      </c>
      <c r="AU2" t="s">
        <v>2419</v>
      </c>
      <c r="AV2" t="s">
        <v>2355</v>
      </c>
      <c r="AW2" t="s">
        <v>2357</v>
      </c>
      <c r="AX2" t="s">
        <v>2419</v>
      </c>
      <c r="AY2" t="s">
        <v>2419</v>
      </c>
      <c r="AZ2" t="s">
        <v>2419</v>
      </c>
      <c r="BA2" t="s">
        <v>2419</v>
      </c>
      <c r="BB2" t="s">
        <v>2419</v>
      </c>
      <c r="BC2" t="s">
        <v>2419</v>
      </c>
      <c r="BD2" t="s">
        <v>2419</v>
      </c>
      <c r="BE2" t="s">
        <v>2419</v>
      </c>
      <c r="BF2" t="s">
        <v>2419</v>
      </c>
      <c r="BG2" t="s">
        <v>2419</v>
      </c>
      <c r="BH2" t="s">
        <v>2419</v>
      </c>
      <c r="BI2" t="s">
        <v>2419</v>
      </c>
      <c r="BJ2" t="s">
        <v>2419</v>
      </c>
      <c r="BK2" t="s">
        <v>2419</v>
      </c>
      <c r="BL2" t="s">
        <v>2419</v>
      </c>
      <c r="BM2" t="s">
        <v>2419</v>
      </c>
      <c r="BN2" t="s">
        <v>2419</v>
      </c>
      <c r="BO2" t="s">
        <v>2419</v>
      </c>
      <c r="BP2" t="s">
        <v>2419</v>
      </c>
      <c r="BQ2" t="s">
        <v>2419</v>
      </c>
      <c r="BR2" t="s">
        <v>2419</v>
      </c>
      <c r="BS2" t="s">
        <v>2419</v>
      </c>
      <c r="BT2" t="s">
        <v>2419</v>
      </c>
      <c r="BU2" t="s">
        <v>2419</v>
      </c>
      <c r="BW2" t="s">
        <v>2358</v>
      </c>
      <c r="BX2" t="s">
        <v>2362</v>
      </c>
    </row>
    <row r="3" spans="1:76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1754</v>
      </c>
      <c r="G3" t="s">
        <v>1915</v>
      </c>
      <c r="H3" t="s">
        <v>1934</v>
      </c>
      <c r="I3" t="s">
        <v>1965</v>
      </c>
      <c r="J3" t="s">
        <v>1996</v>
      </c>
      <c r="K3" t="s">
        <v>2013</v>
      </c>
      <c r="L3" t="s">
        <v>1934</v>
      </c>
      <c r="M3" t="s">
        <v>2691</v>
      </c>
      <c r="N3" t="s">
        <v>2736</v>
      </c>
      <c r="O3" t="s">
        <v>2810</v>
      </c>
      <c r="P3" t="s">
        <v>2825</v>
      </c>
      <c r="Q3" t="s">
        <v>2881</v>
      </c>
      <c r="R3" t="s">
        <v>2021</v>
      </c>
      <c r="S3" t="s">
        <v>2143</v>
      </c>
      <c r="T3" t="s">
        <v>2206</v>
      </c>
      <c r="U3" t="s">
        <v>2321</v>
      </c>
      <c r="V3" t="s">
        <v>2421</v>
      </c>
      <c r="W3" t="s">
        <v>2472</v>
      </c>
      <c r="X3" t="s">
        <v>2481</v>
      </c>
      <c r="Y3" t="s">
        <v>2330</v>
      </c>
      <c r="Z3" t="s">
        <v>2330</v>
      </c>
      <c r="AA3" t="s">
        <v>2910</v>
      </c>
      <c r="AB3" t="s">
        <v>2926</v>
      </c>
      <c r="AC3" t="s">
        <v>2941</v>
      </c>
      <c r="AD3" t="s">
        <v>2950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2359</v>
      </c>
      <c r="BX3" t="s">
        <v>2363</v>
      </c>
    </row>
    <row r="4" spans="1:76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1755</v>
      </c>
      <c r="G4" t="s">
        <v>1916</v>
      </c>
      <c r="H4" t="s">
        <v>1935</v>
      </c>
      <c r="I4" t="s">
        <v>1966</v>
      </c>
      <c r="J4" t="s">
        <v>1997</v>
      </c>
      <c r="K4" t="s">
        <v>2014</v>
      </c>
      <c r="L4" t="s">
        <v>1935</v>
      </c>
      <c r="M4" t="s">
        <v>1965</v>
      </c>
      <c r="N4" t="s">
        <v>2737</v>
      </c>
      <c r="O4" t="s">
        <v>2811</v>
      </c>
      <c r="P4" t="s">
        <v>2826</v>
      </c>
      <c r="Q4" t="s">
        <v>2882</v>
      </c>
      <c r="R4" t="s">
        <v>2022</v>
      </c>
      <c r="S4" t="s">
        <v>2144</v>
      </c>
      <c r="T4" t="s">
        <v>2207</v>
      </c>
      <c r="U4" t="s">
        <v>2035</v>
      </c>
      <c r="V4" t="s">
        <v>2422</v>
      </c>
      <c r="W4" t="s">
        <v>2473</v>
      </c>
      <c r="X4" t="s">
        <v>2482</v>
      </c>
      <c r="Y4" t="s">
        <v>2331</v>
      </c>
      <c r="Z4" t="s">
        <v>2331</v>
      </c>
      <c r="AA4" t="s">
        <v>2911</v>
      </c>
      <c r="AB4" t="s">
        <v>2927</v>
      </c>
      <c r="AC4" t="s">
        <v>2942</v>
      </c>
      <c r="AD4" t="s">
        <v>2951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2364</v>
      </c>
    </row>
    <row r="5" spans="1:76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1756</v>
      </c>
      <c r="G5" t="s">
        <v>1917</v>
      </c>
      <c r="H5" t="s">
        <v>1936</v>
      </c>
      <c r="I5" t="s">
        <v>1967</v>
      </c>
      <c r="J5" t="s">
        <v>1998</v>
      </c>
      <c r="K5" t="s">
        <v>2015</v>
      </c>
      <c r="L5" t="s">
        <v>1936</v>
      </c>
      <c r="M5" t="s">
        <v>2692</v>
      </c>
      <c r="N5" t="s">
        <v>2738</v>
      </c>
      <c r="O5" t="s">
        <v>2812</v>
      </c>
      <c r="P5" t="s">
        <v>2827</v>
      </c>
      <c r="Q5" t="s">
        <v>2883</v>
      </c>
      <c r="R5" t="s">
        <v>2023</v>
      </c>
      <c r="S5" t="s">
        <v>2145</v>
      </c>
      <c r="T5" t="s">
        <v>2208</v>
      </c>
      <c r="U5" t="s">
        <v>2035</v>
      </c>
      <c r="V5" t="s">
        <v>2423</v>
      </c>
      <c r="W5" t="s">
        <v>2474</v>
      </c>
      <c r="Y5" t="s">
        <v>2332</v>
      </c>
      <c r="Z5" t="s">
        <v>2332</v>
      </c>
      <c r="AA5" t="s">
        <v>2912</v>
      </c>
      <c r="AB5" t="s">
        <v>2928</v>
      </c>
      <c r="AC5" t="s">
        <v>2943</v>
      </c>
      <c r="AD5" t="s">
        <v>2952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2360</v>
      </c>
      <c r="BX5" t="s">
        <v>2365</v>
      </c>
    </row>
    <row r="6" spans="1:76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1757</v>
      </c>
      <c r="G6" t="s">
        <v>1918</v>
      </c>
      <c r="H6" t="s">
        <v>1937</v>
      </c>
      <c r="I6" t="s">
        <v>1968</v>
      </c>
      <c r="J6" t="s">
        <v>1999</v>
      </c>
      <c r="K6" t="s">
        <v>2016</v>
      </c>
      <c r="L6" t="s">
        <v>1937</v>
      </c>
      <c r="M6" t="s">
        <v>2693</v>
      </c>
      <c r="N6" t="s">
        <v>2739</v>
      </c>
      <c r="O6" t="s">
        <v>2813</v>
      </c>
      <c r="P6" t="s">
        <v>2828</v>
      </c>
      <c r="Q6" t="s">
        <v>2884</v>
      </c>
      <c r="R6" t="s">
        <v>2024</v>
      </c>
      <c r="S6" t="s">
        <v>2146</v>
      </c>
      <c r="T6" t="s">
        <v>2209</v>
      </c>
      <c r="U6" t="s">
        <v>2043</v>
      </c>
      <c r="V6" t="s">
        <v>2424</v>
      </c>
      <c r="W6" t="s">
        <v>2475</v>
      </c>
      <c r="Y6" t="s">
        <v>2333</v>
      </c>
      <c r="Z6" t="s">
        <v>2333</v>
      </c>
      <c r="AA6" t="s">
        <v>2913</v>
      </c>
      <c r="AB6" t="s">
        <v>2929</v>
      </c>
      <c r="AC6" t="s">
        <v>2944</v>
      </c>
      <c r="AD6" t="s">
        <v>2953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2361</v>
      </c>
    </row>
    <row r="7" spans="1:76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1758</v>
      </c>
      <c r="G7" t="s">
        <v>1919</v>
      </c>
      <c r="H7" t="s">
        <v>1938</v>
      </c>
      <c r="I7" t="s">
        <v>1969</v>
      </c>
      <c r="J7" t="s">
        <v>2000</v>
      </c>
      <c r="K7" t="s">
        <v>2016</v>
      </c>
      <c r="L7" t="s">
        <v>1938</v>
      </c>
      <c r="M7" t="s">
        <v>2694</v>
      </c>
      <c r="N7" t="s">
        <v>2740</v>
      </c>
      <c r="O7" t="s">
        <v>2814</v>
      </c>
      <c r="P7" t="s">
        <v>2829</v>
      </c>
      <c r="Q7" t="s">
        <v>2885</v>
      </c>
      <c r="R7" t="s">
        <v>2025</v>
      </c>
      <c r="S7" t="s">
        <v>2147</v>
      </c>
      <c r="T7" t="s">
        <v>2210</v>
      </c>
      <c r="U7" t="s">
        <v>2044</v>
      </c>
      <c r="V7" t="s">
        <v>2425</v>
      </c>
      <c r="W7" t="s">
        <v>2476</v>
      </c>
      <c r="Y7" t="s">
        <v>2334</v>
      </c>
      <c r="Z7" t="s">
        <v>2334</v>
      </c>
      <c r="AA7" t="s">
        <v>2914</v>
      </c>
      <c r="AB7" t="s">
        <v>2930</v>
      </c>
      <c r="AC7" t="s">
        <v>2945</v>
      </c>
      <c r="AD7" t="s">
        <v>2954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1759</v>
      </c>
      <c r="G8" t="s">
        <v>1920</v>
      </c>
      <c r="H8" t="s">
        <v>1939</v>
      </c>
      <c r="I8" t="s">
        <v>1970</v>
      </c>
      <c r="J8" t="s">
        <v>2001</v>
      </c>
      <c r="K8" t="s">
        <v>2017</v>
      </c>
      <c r="L8" t="s">
        <v>1939</v>
      </c>
      <c r="M8" t="s">
        <v>2695</v>
      </c>
      <c r="N8" t="s">
        <v>1996</v>
      </c>
      <c r="O8" t="s">
        <v>2815</v>
      </c>
      <c r="P8" t="s">
        <v>2830</v>
      </c>
      <c r="Q8" t="s">
        <v>2886</v>
      </c>
      <c r="R8" t="s">
        <v>2026</v>
      </c>
      <c r="S8" t="s">
        <v>2148</v>
      </c>
      <c r="T8" t="s">
        <v>2211</v>
      </c>
      <c r="U8" t="s">
        <v>2322</v>
      </c>
      <c r="V8" t="s">
        <v>2426</v>
      </c>
      <c r="W8" t="s">
        <v>2477</v>
      </c>
      <c r="Y8" t="s">
        <v>2335</v>
      </c>
      <c r="Z8" t="s">
        <v>2335</v>
      </c>
      <c r="AA8" t="s">
        <v>2915</v>
      </c>
      <c r="AB8" t="s">
        <v>2931</v>
      </c>
      <c r="AC8" t="s">
        <v>2946</v>
      </c>
      <c r="AD8" t="s">
        <v>2955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1760</v>
      </c>
      <c r="G9" t="s">
        <v>1921</v>
      </c>
      <c r="H9" t="s">
        <v>1940</v>
      </c>
      <c r="I9" t="s">
        <v>1971</v>
      </c>
      <c r="J9" t="s">
        <v>2002</v>
      </c>
      <c r="K9" t="s">
        <v>2018</v>
      </c>
      <c r="L9" t="s">
        <v>1940</v>
      </c>
      <c r="M9" t="s">
        <v>2696</v>
      </c>
      <c r="N9" t="s">
        <v>1997</v>
      </c>
      <c r="O9" t="s">
        <v>2816</v>
      </c>
      <c r="P9" t="s">
        <v>2831</v>
      </c>
      <c r="Q9" t="s">
        <v>2887</v>
      </c>
      <c r="R9" t="s">
        <v>2027</v>
      </c>
      <c r="S9" t="s">
        <v>2149</v>
      </c>
      <c r="T9" t="s">
        <v>2212</v>
      </c>
      <c r="U9" t="s">
        <v>2051</v>
      </c>
      <c r="V9" t="s">
        <v>2427</v>
      </c>
      <c r="W9" t="s">
        <v>2478</v>
      </c>
      <c r="Y9" t="s">
        <v>2336</v>
      </c>
      <c r="Z9" t="s">
        <v>2336</v>
      </c>
      <c r="AA9" t="s">
        <v>2916</v>
      </c>
      <c r="AB9" t="s">
        <v>2932</v>
      </c>
      <c r="AC9" t="s">
        <v>2947</v>
      </c>
      <c r="AD9" t="s">
        <v>2956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1761</v>
      </c>
      <c r="G10" t="s">
        <v>1922</v>
      </c>
      <c r="H10" t="s">
        <v>1941</v>
      </c>
      <c r="I10" t="s">
        <v>1972</v>
      </c>
      <c r="J10" t="s">
        <v>2003</v>
      </c>
      <c r="K10" t="s">
        <v>2019</v>
      </c>
      <c r="L10" t="s">
        <v>1941</v>
      </c>
      <c r="M10" t="s">
        <v>2697</v>
      </c>
      <c r="N10" t="s">
        <v>2741</v>
      </c>
      <c r="O10" t="s">
        <v>2817</v>
      </c>
      <c r="P10" t="s">
        <v>2832</v>
      </c>
      <c r="Q10" t="s">
        <v>2888</v>
      </c>
      <c r="R10" t="s">
        <v>2028</v>
      </c>
      <c r="S10" t="s">
        <v>2150</v>
      </c>
      <c r="T10" t="s">
        <v>2213</v>
      </c>
      <c r="U10" t="s">
        <v>2061</v>
      </c>
      <c r="V10" t="s">
        <v>2428</v>
      </c>
      <c r="W10" t="s">
        <v>2479</v>
      </c>
      <c r="Y10" t="s">
        <v>2337</v>
      </c>
      <c r="Z10" t="s">
        <v>2337</v>
      </c>
      <c r="AA10" t="s">
        <v>2917</v>
      </c>
      <c r="AB10" t="s">
        <v>2933</v>
      </c>
      <c r="AC10" t="s">
        <v>2948</v>
      </c>
      <c r="AD10" t="s">
        <v>2957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1762</v>
      </c>
      <c r="G11" t="s">
        <v>1923</v>
      </c>
      <c r="H11" t="s">
        <v>1942</v>
      </c>
      <c r="I11" t="s">
        <v>1973</v>
      </c>
      <c r="J11" t="s">
        <v>2004</v>
      </c>
      <c r="L11" t="s">
        <v>1942</v>
      </c>
      <c r="M11" t="s">
        <v>1966</v>
      </c>
      <c r="N11" t="s">
        <v>2742</v>
      </c>
      <c r="O11" t="s">
        <v>2818</v>
      </c>
      <c r="P11" t="s">
        <v>2833</v>
      </c>
      <c r="Q11" t="s">
        <v>2889</v>
      </c>
      <c r="R11" t="s">
        <v>2029</v>
      </c>
      <c r="S11" t="s">
        <v>2151</v>
      </c>
      <c r="T11" t="s">
        <v>1807</v>
      </c>
      <c r="U11" t="s">
        <v>2323</v>
      </c>
      <c r="V11" t="s">
        <v>2429</v>
      </c>
      <c r="Y11" t="s">
        <v>2338</v>
      </c>
      <c r="Z11" t="s">
        <v>2338</v>
      </c>
      <c r="AA11" t="s">
        <v>2918</v>
      </c>
      <c r="AB11" t="s">
        <v>2934</v>
      </c>
      <c r="AC11" t="s">
        <v>2604</v>
      </c>
      <c r="AD11" t="s">
        <v>2958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1763</v>
      </c>
      <c r="G12" t="s">
        <v>1924</v>
      </c>
      <c r="H12" t="s">
        <v>1943</v>
      </c>
      <c r="I12" t="s">
        <v>1974</v>
      </c>
      <c r="J12" t="s">
        <v>2005</v>
      </c>
      <c r="L12" t="s">
        <v>2669</v>
      </c>
      <c r="M12" t="s">
        <v>2698</v>
      </c>
      <c r="N12" t="s">
        <v>2743</v>
      </c>
      <c r="O12" t="s">
        <v>2819</v>
      </c>
      <c r="P12" t="s">
        <v>2834</v>
      </c>
      <c r="Q12" t="s">
        <v>2890</v>
      </c>
      <c r="R12" t="s">
        <v>2030</v>
      </c>
      <c r="S12" t="s">
        <v>2152</v>
      </c>
      <c r="T12" t="s">
        <v>1809</v>
      </c>
      <c r="U12" t="s">
        <v>2324</v>
      </c>
      <c r="V12" t="s">
        <v>2430</v>
      </c>
      <c r="Y12" t="s">
        <v>2339</v>
      </c>
      <c r="Z12" t="s">
        <v>2339</v>
      </c>
      <c r="AA12" t="s">
        <v>2919</v>
      </c>
      <c r="AB12" t="s">
        <v>2935</v>
      </c>
      <c r="AC12" t="s">
        <v>2605</v>
      </c>
      <c r="AD12" t="s">
        <v>2959</v>
      </c>
      <c r="AG12">
        <v>22</v>
      </c>
      <c r="AH12">
        <v>25</v>
      </c>
      <c r="AJ12">
        <v>25</v>
      </c>
    </row>
    <row r="13" spans="1:76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1714</v>
      </c>
      <c r="F13" t="s">
        <v>1764</v>
      </c>
      <c r="G13" t="s">
        <v>1925</v>
      </c>
      <c r="H13" t="s">
        <v>1944</v>
      </c>
      <c r="I13" t="s">
        <v>1975</v>
      </c>
      <c r="J13" t="s">
        <v>2006</v>
      </c>
      <c r="L13" t="s">
        <v>1943</v>
      </c>
      <c r="M13" t="s">
        <v>2699</v>
      </c>
      <c r="N13" t="s">
        <v>2744</v>
      </c>
      <c r="O13" t="s">
        <v>2820</v>
      </c>
      <c r="P13" t="s">
        <v>2835</v>
      </c>
      <c r="Q13" t="s">
        <v>2891</v>
      </c>
      <c r="R13" t="s">
        <v>2031</v>
      </c>
      <c r="S13" t="s">
        <v>2153</v>
      </c>
      <c r="T13" t="s">
        <v>1817</v>
      </c>
      <c r="U13" t="s">
        <v>2072</v>
      </c>
      <c r="V13" t="s">
        <v>2431</v>
      </c>
      <c r="Y13" t="s">
        <v>2340</v>
      </c>
      <c r="Z13" t="s">
        <v>2340</v>
      </c>
      <c r="AA13" t="s">
        <v>2920</v>
      </c>
      <c r="AB13" t="s">
        <v>2936</v>
      </c>
      <c r="AC13" t="s">
        <v>1717</v>
      </c>
      <c r="AD13" t="s">
        <v>2960</v>
      </c>
      <c r="AG13">
        <v>25</v>
      </c>
      <c r="AH13">
        <v>28</v>
      </c>
      <c r="AJ13">
        <v>28</v>
      </c>
    </row>
    <row r="14" spans="1:76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1765</v>
      </c>
      <c r="G14" t="s">
        <v>1926</v>
      </c>
      <c r="H14" t="s">
        <v>1945</v>
      </c>
      <c r="I14" t="s">
        <v>1976</v>
      </c>
      <c r="J14" t="s">
        <v>2007</v>
      </c>
      <c r="L14" t="s">
        <v>2670</v>
      </c>
      <c r="M14" t="s">
        <v>2700</v>
      </c>
      <c r="N14" t="s">
        <v>2745</v>
      </c>
      <c r="O14" t="s">
        <v>2821</v>
      </c>
      <c r="P14" t="s">
        <v>2836</v>
      </c>
      <c r="Q14" t="s">
        <v>2892</v>
      </c>
      <c r="R14" t="s">
        <v>2032</v>
      </c>
      <c r="S14" t="s">
        <v>2154</v>
      </c>
      <c r="T14" t="s">
        <v>1818</v>
      </c>
      <c r="U14" t="s">
        <v>2073</v>
      </c>
      <c r="V14" t="s">
        <v>2432</v>
      </c>
      <c r="Y14" t="s">
        <v>2341</v>
      </c>
      <c r="Z14" t="s">
        <v>2341</v>
      </c>
      <c r="AA14" t="s">
        <v>2921</v>
      </c>
      <c r="AB14" t="s">
        <v>2937</v>
      </c>
      <c r="AC14" t="s">
        <v>1749</v>
      </c>
      <c r="AD14" t="s">
        <v>2961</v>
      </c>
      <c r="AG14">
        <v>28</v>
      </c>
      <c r="AH14">
        <v>32</v>
      </c>
      <c r="AJ14">
        <v>32</v>
      </c>
    </row>
    <row r="15" spans="1:76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1766</v>
      </c>
      <c r="G15" t="s">
        <v>1927</v>
      </c>
      <c r="H15" t="s">
        <v>1946</v>
      </c>
      <c r="I15" t="s">
        <v>1977</v>
      </c>
      <c r="J15" t="s">
        <v>2008</v>
      </c>
      <c r="L15" t="s">
        <v>2671</v>
      </c>
      <c r="M15" t="s">
        <v>2701</v>
      </c>
      <c r="N15" t="s">
        <v>2746</v>
      </c>
      <c r="O15" t="s">
        <v>2822</v>
      </c>
      <c r="P15" t="s">
        <v>2837</v>
      </c>
      <c r="Q15" t="s">
        <v>2893</v>
      </c>
      <c r="R15" t="s">
        <v>2033</v>
      </c>
      <c r="S15" t="s">
        <v>2155</v>
      </c>
      <c r="T15" t="s">
        <v>2214</v>
      </c>
      <c r="U15" t="s">
        <v>2074</v>
      </c>
      <c r="V15" t="s">
        <v>2433</v>
      </c>
      <c r="Y15" t="s">
        <v>2342</v>
      </c>
      <c r="Z15" t="s">
        <v>2342</v>
      </c>
      <c r="AA15" t="s">
        <v>2922</v>
      </c>
      <c r="AB15" t="s">
        <v>2938</v>
      </c>
      <c r="AC15" t="s">
        <v>1719</v>
      </c>
      <c r="AD15" t="s">
        <v>2962</v>
      </c>
      <c r="AG15">
        <v>32</v>
      </c>
      <c r="AH15">
        <v>36</v>
      </c>
      <c r="AJ15">
        <v>36</v>
      </c>
    </row>
    <row r="16" spans="1:76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1715</v>
      </c>
      <c r="F16" t="s">
        <v>1767</v>
      </c>
      <c r="G16" t="s">
        <v>1928</v>
      </c>
      <c r="H16" t="s">
        <v>1947</v>
      </c>
      <c r="I16" t="s">
        <v>1978</v>
      </c>
      <c r="J16" t="s">
        <v>2009</v>
      </c>
      <c r="L16" t="s">
        <v>1944</v>
      </c>
      <c r="M16" t="s">
        <v>2702</v>
      </c>
      <c r="N16" t="s">
        <v>1998</v>
      </c>
      <c r="O16" t="s">
        <v>2823</v>
      </c>
      <c r="P16" t="s">
        <v>2838</v>
      </c>
      <c r="Q16" t="s">
        <v>2894</v>
      </c>
      <c r="R16" t="s">
        <v>2034</v>
      </c>
      <c r="S16" t="s">
        <v>2156</v>
      </c>
      <c r="T16" t="s">
        <v>2215</v>
      </c>
      <c r="U16" t="s">
        <v>2325</v>
      </c>
      <c r="V16" t="s">
        <v>2434</v>
      </c>
      <c r="AA16" t="s">
        <v>2923</v>
      </c>
      <c r="AB16" t="s">
        <v>2939</v>
      </c>
      <c r="AC16" t="s">
        <v>1750</v>
      </c>
      <c r="AG16">
        <v>36</v>
      </c>
      <c r="AH16">
        <v>40</v>
      </c>
      <c r="AJ16">
        <v>40</v>
      </c>
    </row>
    <row r="17" spans="1:33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1716</v>
      </c>
      <c r="F17" t="s">
        <v>1768</v>
      </c>
      <c r="G17" t="s">
        <v>1929</v>
      </c>
      <c r="H17" t="s">
        <v>1948</v>
      </c>
      <c r="I17" t="s">
        <v>1979</v>
      </c>
      <c r="J17" t="s">
        <v>2010</v>
      </c>
      <c r="L17" t="s">
        <v>1945</v>
      </c>
      <c r="M17" t="s">
        <v>2703</v>
      </c>
      <c r="N17" t="s">
        <v>1999</v>
      </c>
      <c r="P17" t="s">
        <v>2839</v>
      </c>
      <c r="Q17" t="s">
        <v>2895</v>
      </c>
      <c r="R17" t="s">
        <v>2035</v>
      </c>
      <c r="S17" t="s">
        <v>2157</v>
      </c>
      <c r="T17" t="s">
        <v>2216</v>
      </c>
      <c r="U17" t="s">
        <v>2326</v>
      </c>
      <c r="V17" t="s">
        <v>2435</v>
      </c>
      <c r="AA17" t="s">
        <v>2924</v>
      </c>
      <c r="AB17" t="s">
        <v>2568</v>
      </c>
      <c r="AC17" t="s">
        <v>1577</v>
      </c>
      <c r="AG17">
        <v>40</v>
      </c>
    </row>
    <row r="18" spans="1:33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1717</v>
      </c>
      <c r="F18" t="s">
        <v>1769</v>
      </c>
      <c r="G18" t="s">
        <v>1930</v>
      </c>
      <c r="H18" t="s">
        <v>1949</v>
      </c>
      <c r="I18" t="s">
        <v>1980</v>
      </c>
      <c r="J18" t="s">
        <v>2011</v>
      </c>
      <c r="L18" t="s">
        <v>2672</v>
      </c>
      <c r="M18" t="s">
        <v>1967</v>
      </c>
      <c r="N18" t="s">
        <v>2000</v>
      </c>
      <c r="P18" t="s">
        <v>2840</v>
      </c>
      <c r="Q18" t="s">
        <v>2896</v>
      </c>
      <c r="R18" t="s">
        <v>2036</v>
      </c>
      <c r="S18" t="s">
        <v>2158</v>
      </c>
      <c r="T18" t="s">
        <v>2217</v>
      </c>
      <c r="U18" t="s">
        <v>2327</v>
      </c>
      <c r="V18" t="s">
        <v>2436</v>
      </c>
      <c r="AA18" t="s">
        <v>2483</v>
      </c>
      <c r="AB18" t="s">
        <v>2569</v>
      </c>
      <c r="AC18" t="s">
        <v>1728</v>
      </c>
    </row>
    <row r="19" spans="1:33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1770</v>
      </c>
      <c r="G19" t="s">
        <v>1931</v>
      </c>
      <c r="H19" t="s">
        <v>1950</v>
      </c>
      <c r="I19" t="s">
        <v>1981</v>
      </c>
      <c r="L19" t="s">
        <v>2673</v>
      </c>
      <c r="M19" t="s">
        <v>1968</v>
      </c>
      <c r="N19" t="s">
        <v>2747</v>
      </c>
      <c r="P19" t="s">
        <v>2841</v>
      </c>
      <c r="Q19" t="s">
        <v>2897</v>
      </c>
      <c r="R19" t="s">
        <v>2037</v>
      </c>
      <c r="S19" t="s">
        <v>2159</v>
      </c>
      <c r="T19" t="s">
        <v>2218</v>
      </c>
      <c r="U19" t="s">
        <v>2085</v>
      </c>
      <c r="V19" t="s">
        <v>2437</v>
      </c>
      <c r="AA19" t="s">
        <v>2484</v>
      </c>
      <c r="AB19" t="s">
        <v>2570</v>
      </c>
      <c r="AC19" t="s">
        <v>1582</v>
      </c>
    </row>
    <row r="20" spans="1:33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1771</v>
      </c>
      <c r="G20" t="s">
        <v>1932</v>
      </c>
      <c r="H20" t="s">
        <v>1951</v>
      </c>
      <c r="I20" t="s">
        <v>1982</v>
      </c>
      <c r="L20" t="s">
        <v>1946</v>
      </c>
      <c r="M20" t="s">
        <v>2704</v>
      </c>
      <c r="N20" t="s">
        <v>2748</v>
      </c>
      <c r="P20" t="s">
        <v>2842</v>
      </c>
      <c r="Q20" t="s">
        <v>2898</v>
      </c>
      <c r="R20" t="s">
        <v>2038</v>
      </c>
      <c r="S20" t="s">
        <v>2160</v>
      </c>
      <c r="T20" t="s">
        <v>2219</v>
      </c>
      <c r="U20" t="s">
        <v>2328</v>
      </c>
      <c r="V20" t="s">
        <v>2438</v>
      </c>
      <c r="AA20" t="s">
        <v>2485</v>
      </c>
      <c r="AB20" t="s">
        <v>2571</v>
      </c>
      <c r="AC20" t="s">
        <v>2606</v>
      </c>
    </row>
    <row r="21" spans="1:33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1772</v>
      </c>
      <c r="H21" t="s">
        <v>1952</v>
      </c>
      <c r="I21" t="s">
        <v>1983</v>
      </c>
      <c r="L21" t="s">
        <v>1947</v>
      </c>
      <c r="M21" t="s">
        <v>2705</v>
      </c>
      <c r="N21" t="s">
        <v>2749</v>
      </c>
      <c r="P21" t="s">
        <v>2843</v>
      </c>
      <c r="Q21" t="s">
        <v>2899</v>
      </c>
      <c r="R21" t="s">
        <v>2039</v>
      </c>
      <c r="S21" t="s">
        <v>2161</v>
      </c>
      <c r="T21" t="s">
        <v>2220</v>
      </c>
      <c r="U21" t="s">
        <v>2329</v>
      </c>
      <c r="V21" t="s">
        <v>2439</v>
      </c>
      <c r="AA21" t="s">
        <v>2486</v>
      </c>
      <c r="AB21" t="s">
        <v>2572</v>
      </c>
      <c r="AC21" t="s">
        <v>1587</v>
      </c>
    </row>
    <row r="22" spans="1:33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1718</v>
      </c>
      <c r="F22" t="s">
        <v>1773</v>
      </c>
      <c r="H22" t="s">
        <v>1953</v>
      </c>
      <c r="I22" t="s">
        <v>1984</v>
      </c>
      <c r="L22" t="s">
        <v>2674</v>
      </c>
      <c r="M22" t="s">
        <v>2706</v>
      </c>
      <c r="N22" t="s">
        <v>2750</v>
      </c>
      <c r="P22" t="s">
        <v>2844</v>
      </c>
      <c r="Q22" t="s">
        <v>2900</v>
      </c>
      <c r="R22" t="s">
        <v>2040</v>
      </c>
      <c r="S22" t="s">
        <v>2162</v>
      </c>
      <c r="T22" t="s">
        <v>2221</v>
      </c>
      <c r="V22" t="s">
        <v>2440</v>
      </c>
      <c r="AA22" t="s">
        <v>2487</v>
      </c>
      <c r="AB22" t="s">
        <v>2573</v>
      </c>
      <c r="AC22" t="s">
        <v>2607</v>
      </c>
    </row>
    <row r="23" spans="1:33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1719</v>
      </c>
      <c r="F23" t="s">
        <v>1774</v>
      </c>
      <c r="H23" t="s">
        <v>1954</v>
      </c>
      <c r="I23" t="s">
        <v>1985</v>
      </c>
      <c r="L23" t="s">
        <v>2675</v>
      </c>
      <c r="M23" t="s">
        <v>2707</v>
      </c>
      <c r="N23" t="s">
        <v>2751</v>
      </c>
      <c r="P23" t="s">
        <v>2845</v>
      </c>
      <c r="Q23" t="s">
        <v>2901</v>
      </c>
      <c r="R23" t="s">
        <v>2041</v>
      </c>
      <c r="S23" t="s">
        <v>2163</v>
      </c>
      <c r="T23" t="s">
        <v>1151</v>
      </c>
      <c r="V23" t="s">
        <v>2441</v>
      </c>
      <c r="AA23" t="s">
        <v>2488</v>
      </c>
      <c r="AB23" t="s">
        <v>2574</v>
      </c>
      <c r="AC23" t="s">
        <v>2608</v>
      </c>
    </row>
    <row r="24" spans="1:33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1720</v>
      </c>
      <c r="F24" t="s">
        <v>1775</v>
      </c>
      <c r="H24" t="s">
        <v>1955</v>
      </c>
      <c r="I24" t="s">
        <v>1986</v>
      </c>
      <c r="L24" t="s">
        <v>1948</v>
      </c>
      <c r="M24" t="s">
        <v>1969</v>
      </c>
      <c r="N24" t="s">
        <v>2752</v>
      </c>
      <c r="P24" t="s">
        <v>2846</v>
      </c>
      <c r="Q24" t="s">
        <v>2902</v>
      </c>
      <c r="R24" t="s">
        <v>2042</v>
      </c>
      <c r="S24" t="s">
        <v>2164</v>
      </c>
      <c r="T24" t="s">
        <v>1152</v>
      </c>
      <c r="V24" t="s">
        <v>2442</v>
      </c>
      <c r="AA24" t="s">
        <v>2489</v>
      </c>
      <c r="AB24" t="s">
        <v>2575</v>
      </c>
      <c r="AC24" t="s">
        <v>344</v>
      </c>
    </row>
    <row r="25" spans="1:33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1776</v>
      </c>
      <c r="H25" t="s">
        <v>1956</v>
      </c>
      <c r="I25" t="s">
        <v>1987</v>
      </c>
      <c r="L25" t="s">
        <v>1949</v>
      </c>
      <c r="M25" t="s">
        <v>1970</v>
      </c>
      <c r="N25" t="s">
        <v>2753</v>
      </c>
      <c r="P25" t="s">
        <v>2847</v>
      </c>
      <c r="Q25" t="s">
        <v>2903</v>
      </c>
      <c r="R25" t="s">
        <v>2043</v>
      </c>
      <c r="S25" t="s">
        <v>2165</v>
      </c>
      <c r="T25" t="s">
        <v>2222</v>
      </c>
      <c r="V25" t="s">
        <v>2443</v>
      </c>
      <c r="AA25" t="s">
        <v>2490</v>
      </c>
      <c r="AB25" t="s">
        <v>2576</v>
      </c>
      <c r="AC25" t="s">
        <v>2609</v>
      </c>
    </row>
    <row r="26" spans="1:33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1777</v>
      </c>
      <c r="H26" t="s">
        <v>1957</v>
      </c>
      <c r="I26" t="s">
        <v>1988</v>
      </c>
      <c r="L26" t="s">
        <v>2676</v>
      </c>
      <c r="M26" t="s">
        <v>2708</v>
      </c>
      <c r="N26" t="s">
        <v>2001</v>
      </c>
      <c r="P26" t="s">
        <v>2848</v>
      </c>
      <c r="Q26" t="s">
        <v>2904</v>
      </c>
      <c r="R26" t="s">
        <v>2044</v>
      </c>
      <c r="S26" t="s">
        <v>2166</v>
      </c>
      <c r="T26" t="s">
        <v>1157</v>
      </c>
      <c r="V26" t="s">
        <v>2444</v>
      </c>
      <c r="AA26" t="s">
        <v>2491</v>
      </c>
      <c r="AB26" t="s">
        <v>2577</v>
      </c>
      <c r="AC26" t="s">
        <v>1600</v>
      </c>
    </row>
    <row r="27" spans="1:33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1778</v>
      </c>
      <c r="H27" t="s">
        <v>1958</v>
      </c>
      <c r="I27" t="s">
        <v>1989</v>
      </c>
      <c r="L27" t="s">
        <v>2677</v>
      </c>
      <c r="M27" t="s">
        <v>2709</v>
      </c>
      <c r="N27" t="s">
        <v>2002</v>
      </c>
      <c r="P27" t="s">
        <v>2849</v>
      </c>
      <c r="Q27" t="s">
        <v>2905</v>
      </c>
      <c r="R27" t="s">
        <v>2045</v>
      </c>
      <c r="S27" t="s">
        <v>2167</v>
      </c>
      <c r="T27" t="s">
        <v>1158</v>
      </c>
      <c r="V27" t="s">
        <v>2445</v>
      </c>
      <c r="AA27" t="s">
        <v>2492</v>
      </c>
      <c r="AB27" t="s">
        <v>2578</v>
      </c>
      <c r="AC27" t="s">
        <v>2610</v>
      </c>
    </row>
    <row r="28" spans="1:33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1779</v>
      </c>
      <c r="H28" t="s">
        <v>1959</v>
      </c>
      <c r="I28" t="s">
        <v>1990</v>
      </c>
      <c r="L28" t="s">
        <v>1950</v>
      </c>
      <c r="M28" t="s">
        <v>2710</v>
      </c>
      <c r="N28" t="s">
        <v>2003</v>
      </c>
      <c r="P28" t="s">
        <v>2850</v>
      </c>
      <c r="Q28" t="s">
        <v>2906</v>
      </c>
      <c r="R28" t="s">
        <v>2046</v>
      </c>
      <c r="S28" t="s">
        <v>2168</v>
      </c>
      <c r="T28" t="s">
        <v>1159</v>
      </c>
      <c r="V28" t="s">
        <v>2446</v>
      </c>
      <c r="AA28" t="s">
        <v>2493</v>
      </c>
      <c r="AB28" t="s">
        <v>2579</v>
      </c>
      <c r="AC28" t="s">
        <v>1611</v>
      </c>
    </row>
    <row r="29" spans="1:33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1780</v>
      </c>
      <c r="H29" t="s">
        <v>1960</v>
      </c>
      <c r="I29" t="s">
        <v>1991</v>
      </c>
      <c r="L29" t="s">
        <v>1951</v>
      </c>
      <c r="M29" t="s">
        <v>2711</v>
      </c>
      <c r="N29" t="s">
        <v>2004</v>
      </c>
      <c r="P29" t="s">
        <v>2851</v>
      </c>
      <c r="Q29" t="s">
        <v>2907</v>
      </c>
      <c r="R29" t="s">
        <v>2047</v>
      </c>
      <c r="S29" t="s">
        <v>2169</v>
      </c>
      <c r="T29" t="s">
        <v>1161</v>
      </c>
      <c r="V29" t="s">
        <v>2447</v>
      </c>
      <c r="AA29" t="s">
        <v>2494</v>
      </c>
      <c r="AB29" t="s">
        <v>2580</v>
      </c>
      <c r="AC29" t="s">
        <v>2611</v>
      </c>
    </row>
    <row r="30" spans="1:33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1721</v>
      </c>
      <c r="F30" t="s">
        <v>1781</v>
      </c>
      <c r="H30" t="s">
        <v>1961</v>
      </c>
      <c r="I30" t="s">
        <v>1992</v>
      </c>
      <c r="L30" t="s">
        <v>2678</v>
      </c>
      <c r="M30" t="s">
        <v>2712</v>
      </c>
      <c r="N30" t="s">
        <v>2754</v>
      </c>
      <c r="P30" t="s">
        <v>2852</v>
      </c>
      <c r="Q30" t="s">
        <v>2908</v>
      </c>
      <c r="R30" t="s">
        <v>2048</v>
      </c>
      <c r="S30" t="s">
        <v>2170</v>
      </c>
      <c r="T30" t="s">
        <v>2223</v>
      </c>
      <c r="V30" t="s">
        <v>2448</v>
      </c>
      <c r="AA30" t="s">
        <v>2495</v>
      </c>
      <c r="AB30" t="s">
        <v>2581</v>
      </c>
      <c r="AC30" t="s">
        <v>1622</v>
      </c>
    </row>
    <row r="31" spans="1:33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1722</v>
      </c>
      <c r="F31" t="s">
        <v>1782</v>
      </c>
      <c r="H31" t="s">
        <v>1962</v>
      </c>
      <c r="I31" t="s">
        <v>1993</v>
      </c>
      <c r="L31" t="s">
        <v>2679</v>
      </c>
      <c r="M31" t="s">
        <v>1971</v>
      </c>
      <c r="N31" t="s">
        <v>2755</v>
      </c>
      <c r="P31" t="s">
        <v>2853</v>
      </c>
      <c r="R31" t="s">
        <v>2049</v>
      </c>
      <c r="S31" t="s">
        <v>2171</v>
      </c>
      <c r="T31" t="s">
        <v>2224</v>
      </c>
      <c r="V31" t="s">
        <v>2449</v>
      </c>
      <c r="AA31" t="s">
        <v>2496</v>
      </c>
      <c r="AB31" t="s">
        <v>2582</v>
      </c>
      <c r="AC31" t="s">
        <v>2612</v>
      </c>
    </row>
    <row r="32" spans="1:33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1783</v>
      </c>
      <c r="H32" t="s">
        <v>1963</v>
      </c>
      <c r="I32" t="s">
        <v>1994</v>
      </c>
      <c r="L32" t="s">
        <v>1952</v>
      </c>
      <c r="M32" t="s">
        <v>1972</v>
      </c>
      <c r="N32" t="s">
        <v>2756</v>
      </c>
      <c r="P32" t="s">
        <v>2854</v>
      </c>
      <c r="R32" t="s">
        <v>2050</v>
      </c>
      <c r="S32" t="s">
        <v>2172</v>
      </c>
      <c r="T32" t="s">
        <v>2225</v>
      </c>
      <c r="V32" t="s">
        <v>2450</v>
      </c>
      <c r="AA32" t="s">
        <v>2497</v>
      </c>
      <c r="AB32" t="s">
        <v>2583</v>
      </c>
      <c r="AC32" t="s">
        <v>2613</v>
      </c>
    </row>
    <row r="33" spans="1:29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1723</v>
      </c>
      <c r="F33" t="s">
        <v>1784</v>
      </c>
      <c r="L33" t="s">
        <v>1953</v>
      </c>
      <c r="M33" t="s">
        <v>2713</v>
      </c>
      <c r="N33" t="s">
        <v>2757</v>
      </c>
      <c r="P33" t="s">
        <v>2855</v>
      </c>
      <c r="R33" t="s">
        <v>2051</v>
      </c>
      <c r="S33" t="s">
        <v>2173</v>
      </c>
      <c r="T33" t="s">
        <v>2226</v>
      </c>
      <c r="V33" t="s">
        <v>2451</v>
      </c>
      <c r="AA33" t="s">
        <v>2498</v>
      </c>
      <c r="AB33" t="s">
        <v>2584</v>
      </c>
      <c r="AC33" t="s">
        <v>1633</v>
      </c>
    </row>
    <row r="34" spans="1:29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1724</v>
      </c>
      <c r="F34" t="s">
        <v>1785</v>
      </c>
      <c r="L34" t="s">
        <v>2680</v>
      </c>
      <c r="M34" t="s">
        <v>2714</v>
      </c>
      <c r="N34" t="s">
        <v>2758</v>
      </c>
      <c r="P34" t="s">
        <v>2856</v>
      </c>
      <c r="R34" t="s">
        <v>2052</v>
      </c>
      <c r="S34" t="s">
        <v>2174</v>
      </c>
      <c r="T34" t="s">
        <v>2227</v>
      </c>
      <c r="V34" t="s">
        <v>2452</v>
      </c>
      <c r="AA34" t="s">
        <v>2499</v>
      </c>
      <c r="AB34" t="s">
        <v>2585</v>
      </c>
      <c r="AC34" t="s">
        <v>2614</v>
      </c>
    </row>
    <row r="35" spans="1:29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1725</v>
      </c>
      <c r="F35" t="s">
        <v>1786</v>
      </c>
      <c r="L35" t="s">
        <v>2681</v>
      </c>
      <c r="M35" t="s">
        <v>2715</v>
      </c>
      <c r="N35" t="s">
        <v>2759</v>
      </c>
      <c r="P35" t="s">
        <v>2857</v>
      </c>
      <c r="R35" t="s">
        <v>2053</v>
      </c>
      <c r="S35" t="s">
        <v>2175</v>
      </c>
      <c r="T35" t="s">
        <v>1165</v>
      </c>
      <c r="V35" t="s">
        <v>2453</v>
      </c>
      <c r="AA35" t="s">
        <v>2500</v>
      </c>
      <c r="AB35" t="s">
        <v>2586</v>
      </c>
      <c r="AC35" t="s">
        <v>2615</v>
      </c>
    </row>
    <row r="36" spans="1:29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1726</v>
      </c>
      <c r="F36" t="s">
        <v>1787</v>
      </c>
      <c r="L36" t="s">
        <v>1954</v>
      </c>
      <c r="M36" t="s">
        <v>2716</v>
      </c>
      <c r="N36" t="s">
        <v>2760</v>
      </c>
      <c r="P36" t="s">
        <v>2858</v>
      </c>
      <c r="R36" t="s">
        <v>2054</v>
      </c>
      <c r="S36" t="s">
        <v>2176</v>
      </c>
      <c r="T36" t="s">
        <v>1166</v>
      </c>
      <c r="V36" t="s">
        <v>2454</v>
      </c>
      <c r="AA36" t="s">
        <v>2501</v>
      </c>
      <c r="AB36" t="s">
        <v>2587</v>
      </c>
      <c r="AC36" t="s">
        <v>480</v>
      </c>
    </row>
    <row r="37" spans="1:29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1788</v>
      </c>
      <c r="L37" t="s">
        <v>1955</v>
      </c>
      <c r="M37" t="s">
        <v>2717</v>
      </c>
      <c r="N37" t="s">
        <v>2761</v>
      </c>
      <c r="P37" t="s">
        <v>2859</v>
      </c>
      <c r="R37" t="s">
        <v>2055</v>
      </c>
      <c r="S37" t="s">
        <v>2177</v>
      </c>
      <c r="T37" t="s">
        <v>2228</v>
      </c>
      <c r="V37" t="s">
        <v>2455</v>
      </c>
      <c r="AA37" t="s">
        <v>2502</v>
      </c>
      <c r="AB37" t="s">
        <v>2588</v>
      </c>
      <c r="AC37" t="s">
        <v>1647</v>
      </c>
    </row>
    <row r="38" spans="1:29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1727</v>
      </c>
      <c r="F38" t="s">
        <v>1789</v>
      </c>
      <c r="L38" t="s">
        <v>1956</v>
      </c>
      <c r="M38" t="s">
        <v>2718</v>
      </c>
      <c r="N38" t="s">
        <v>2762</v>
      </c>
      <c r="P38" t="s">
        <v>2860</v>
      </c>
      <c r="R38" t="s">
        <v>2056</v>
      </c>
      <c r="S38" t="s">
        <v>2178</v>
      </c>
      <c r="T38" t="s">
        <v>2229</v>
      </c>
      <c r="V38" t="s">
        <v>2456</v>
      </c>
      <c r="AA38" t="s">
        <v>2503</v>
      </c>
      <c r="AB38" t="s">
        <v>2589</v>
      </c>
      <c r="AC38" t="s">
        <v>1656</v>
      </c>
    </row>
    <row r="39" spans="1:29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1728</v>
      </c>
      <c r="F39" t="s">
        <v>1790</v>
      </c>
      <c r="L39" t="s">
        <v>2682</v>
      </c>
      <c r="M39" t="s">
        <v>1973</v>
      </c>
      <c r="N39" t="s">
        <v>2763</v>
      </c>
      <c r="P39" t="s">
        <v>2861</v>
      </c>
      <c r="R39" t="s">
        <v>2057</v>
      </c>
      <c r="S39" t="s">
        <v>2179</v>
      </c>
      <c r="T39" t="s">
        <v>2230</v>
      </c>
      <c r="V39" t="s">
        <v>2457</v>
      </c>
      <c r="AA39" t="s">
        <v>2504</v>
      </c>
      <c r="AB39" t="s">
        <v>2590</v>
      </c>
      <c r="AC39" t="s">
        <v>2616</v>
      </c>
    </row>
    <row r="40" spans="1:29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1729</v>
      </c>
      <c r="F40" t="s">
        <v>1791</v>
      </c>
      <c r="L40" t="s">
        <v>2683</v>
      </c>
      <c r="M40" t="s">
        <v>2719</v>
      </c>
      <c r="N40" t="s">
        <v>2764</v>
      </c>
      <c r="P40" t="s">
        <v>2862</v>
      </c>
      <c r="R40" t="s">
        <v>2058</v>
      </c>
      <c r="S40" t="s">
        <v>2180</v>
      </c>
      <c r="T40" t="s">
        <v>1173</v>
      </c>
      <c r="V40" t="s">
        <v>2458</v>
      </c>
      <c r="AA40" t="s">
        <v>2505</v>
      </c>
      <c r="AB40" t="s">
        <v>2591</v>
      </c>
      <c r="AC40" t="s">
        <v>545</v>
      </c>
    </row>
    <row r="41" spans="1:29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1730</v>
      </c>
      <c r="F41" t="s">
        <v>1792</v>
      </c>
      <c r="L41" t="s">
        <v>1957</v>
      </c>
      <c r="M41" t="s">
        <v>2720</v>
      </c>
      <c r="N41" t="s">
        <v>2765</v>
      </c>
      <c r="P41" t="s">
        <v>2863</v>
      </c>
      <c r="R41" t="s">
        <v>2059</v>
      </c>
      <c r="S41" t="s">
        <v>2181</v>
      </c>
      <c r="T41" t="s">
        <v>1175</v>
      </c>
      <c r="V41" t="s">
        <v>2459</v>
      </c>
      <c r="AA41" t="s">
        <v>2506</v>
      </c>
      <c r="AB41" t="s">
        <v>2592</v>
      </c>
      <c r="AC41" t="s">
        <v>2617</v>
      </c>
    </row>
    <row r="42" spans="1:29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1731</v>
      </c>
      <c r="F42" t="s">
        <v>1793</v>
      </c>
      <c r="L42" t="s">
        <v>1958</v>
      </c>
      <c r="M42" t="s">
        <v>2721</v>
      </c>
      <c r="N42" t="s">
        <v>2766</v>
      </c>
      <c r="P42" t="s">
        <v>2864</v>
      </c>
      <c r="R42" t="s">
        <v>2060</v>
      </c>
      <c r="S42" t="s">
        <v>2182</v>
      </c>
      <c r="T42" t="s">
        <v>2231</v>
      </c>
      <c r="V42" t="s">
        <v>2460</v>
      </c>
      <c r="AA42" t="s">
        <v>2507</v>
      </c>
      <c r="AB42" t="s">
        <v>2593</v>
      </c>
      <c r="AC42" t="s">
        <v>2618</v>
      </c>
    </row>
    <row r="43" spans="1:29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1732</v>
      </c>
      <c r="F43" t="s">
        <v>1794</v>
      </c>
      <c r="L43" t="s">
        <v>2684</v>
      </c>
      <c r="M43" t="s">
        <v>2722</v>
      </c>
      <c r="N43" t="s">
        <v>2767</v>
      </c>
      <c r="P43" t="s">
        <v>2865</v>
      </c>
      <c r="R43" t="s">
        <v>2061</v>
      </c>
      <c r="S43" t="s">
        <v>2183</v>
      </c>
      <c r="T43" t="s">
        <v>2232</v>
      </c>
      <c r="V43" t="s">
        <v>2461</v>
      </c>
      <c r="AA43" t="s">
        <v>2508</v>
      </c>
      <c r="AB43" t="s">
        <v>2594</v>
      </c>
    </row>
    <row r="44" spans="1:29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1795</v>
      </c>
      <c r="L44" t="s">
        <v>2685</v>
      </c>
      <c r="M44" t="s">
        <v>2723</v>
      </c>
      <c r="N44" t="s">
        <v>2768</v>
      </c>
      <c r="P44" t="s">
        <v>2866</v>
      </c>
      <c r="R44" t="s">
        <v>2062</v>
      </c>
      <c r="S44" t="s">
        <v>2184</v>
      </c>
      <c r="T44" t="s">
        <v>2233</v>
      </c>
      <c r="AA44" t="s">
        <v>2509</v>
      </c>
      <c r="AB44" t="s">
        <v>2595</v>
      </c>
    </row>
    <row r="45" spans="1:29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1796</v>
      </c>
      <c r="L45" t="s">
        <v>1959</v>
      </c>
      <c r="M45" t="s">
        <v>1974</v>
      </c>
      <c r="N45" t="s">
        <v>2769</v>
      </c>
      <c r="P45" t="s">
        <v>2867</v>
      </c>
      <c r="R45" t="s">
        <v>2063</v>
      </c>
      <c r="S45" t="s">
        <v>2185</v>
      </c>
      <c r="T45" t="s">
        <v>2234</v>
      </c>
      <c r="AA45" t="s">
        <v>2510</v>
      </c>
      <c r="AB45" t="s">
        <v>2596</v>
      </c>
    </row>
    <row r="46" spans="1:29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1797</v>
      </c>
      <c r="L46" t="s">
        <v>1960</v>
      </c>
      <c r="M46" t="s">
        <v>1975</v>
      </c>
      <c r="N46" t="s">
        <v>2770</v>
      </c>
      <c r="P46" t="s">
        <v>2868</v>
      </c>
      <c r="R46" t="s">
        <v>2064</v>
      </c>
      <c r="S46" t="s">
        <v>2186</v>
      </c>
      <c r="T46" t="s">
        <v>2235</v>
      </c>
      <c r="AA46" t="s">
        <v>2511</v>
      </c>
      <c r="AB46" t="s">
        <v>2597</v>
      </c>
    </row>
    <row r="47" spans="1:29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1798</v>
      </c>
      <c r="L47" t="s">
        <v>2686</v>
      </c>
      <c r="M47" t="s">
        <v>1976</v>
      </c>
      <c r="N47" t="s">
        <v>2005</v>
      </c>
      <c r="P47" t="s">
        <v>2869</v>
      </c>
      <c r="R47" t="s">
        <v>2065</v>
      </c>
      <c r="S47" t="s">
        <v>2187</v>
      </c>
      <c r="T47" t="s">
        <v>2236</v>
      </c>
      <c r="AA47" t="s">
        <v>2512</v>
      </c>
      <c r="AB47" t="s">
        <v>2598</v>
      </c>
    </row>
    <row r="48" spans="1:29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1799</v>
      </c>
      <c r="L48" t="s">
        <v>2687</v>
      </c>
      <c r="M48" t="s">
        <v>1977</v>
      </c>
      <c r="N48" t="s">
        <v>2771</v>
      </c>
      <c r="P48" t="s">
        <v>2870</v>
      </c>
      <c r="R48" t="s">
        <v>2066</v>
      </c>
      <c r="S48" t="s">
        <v>2188</v>
      </c>
      <c r="T48" t="s">
        <v>2237</v>
      </c>
      <c r="AA48" t="s">
        <v>2513</v>
      </c>
      <c r="AB48" t="s">
        <v>2599</v>
      </c>
    </row>
    <row r="49" spans="1:28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1733</v>
      </c>
      <c r="F49" t="s">
        <v>1800</v>
      </c>
      <c r="L49" t="s">
        <v>1962</v>
      </c>
      <c r="M49" t="s">
        <v>2724</v>
      </c>
      <c r="N49" t="s">
        <v>2006</v>
      </c>
      <c r="P49" t="s">
        <v>2871</v>
      </c>
      <c r="R49" t="s">
        <v>2067</v>
      </c>
      <c r="S49" t="s">
        <v>2189</v>
      </c>
      <c r="T49" t="s">
        <v>2238</v>
      </c>
      <c r="AA49" t="s">
        <v>2514</v>
      </c>
      <c r="AB49" t="s">
        <v>2600</v>
      </c>
    </row>
    <row r="50" spans="1:28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1734</v>
      </c>
      <c r="F50" t="s">
        <v>1801</v>
      </c>
      <c r="L50" t="s">
        <v>1963</v>
      </c>
      <c r="M50" t="s">
        <v>2725</v>
      </c>
      <c r="N50" t="s">
        <v>2772</v>
      </c>
      <c r="P50" t="s">
        <v>2872</v>
      </c>
      <c r="R50" t="s">
        <v>2068</v>
      </c>
      <c r="S50" t="s">
        <v>2190</v>
      </c>
      <c r="T50" t="s">
        <v>2239</v>
      </c>
      <c r="AA50" t="s">
        <v>2515</v>
      </c>
      <c r="AB50" t="s">
        <v>2601</v>
      </c>
    </row>
    <row r="51" spans="1:28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1802</v>
      </c>
      <c r="L51" t="s">
        <v>2688</v>
      </c>
      <c r="M51" t="s">
        <v>2726</v>
      </c>
      <c r="N51" t="s">
        <v>2773</v>
      </c>
      <c r="P51" t="s">
        <v>2873</v>
      </c>
      <c r="R51" t="s">
        <v>2069</v>
      </c>
      <c r="S51" t="s">
        <v>2191</v>
      </c>
      <c r="T51" t="s">
        <v>1857</v>
      </c>
      <c r="AA51" t="s">
        <v>2516</v>
      </c>
      <c r="AB51" t="s">
        <v>2602</v>
      </c>
    </row>
    <row r="52" spans="1:28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1803</v>
      </c>
      <c r="L52" t="s">
        <v>2689</v>
      </c>
      <c r="M52" t="s">
        <v>2727</v>
      </c>
      <c r="N52" t="s">
        <v>2774</v>
      </c>
      <c r="P52" t="s">
        <v>2874</v>
      </c>
      <c r="R52" t="s">
        <v>2070</v>
      </c>
      <c r="S52" t="s">
        <v>2192</v>
      </c>
      <c r="T52" t="s">
        <v>1184</v>
      </c>
      <c r="AA52" t="s">
        <v>2517</v>
      </c>
      <c r="AB52" t="s">
        <v>2603</v>
      </c>
    </row>
    <row r="53" spans="1:28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1804</v>
      </c>
      <c r="M53" t="s">
        <v>1978</v>
      </c>
      <c r="N53" t="s">
        <v>2775</v>
      </c>
      <c r="P53" t="s">
        <v>2875</v>
      </c>
      <c r="R53" t="s">
        <v>2071</v>
      </c>
      <c r="S53" t="s">
        <v>2193</v>
      </c>
      <c r="T53" t="s">
        <v>1186</v>
      </c>
      <c r="AA53" t="s">
        <v>2518</v>
      </c>
    </row>
    <row r="54" spans="1:28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1805</v>
      </c>
      <c r="M54" t="s">
        <v>1979</v>
      </c>
      <c r="N54" t="s">
        <v>2776</v>
      </c>
      <c r="P54" t="s">
        <v>2876</v>
      </c>
      <c r="R54" t="s">
        <v>2072</v>
      </c>
      <c r="S54" t="s">
        <v>2194</v>
      </c>
      <c r="T54" t="s">
        <v>2240</v>
      </c>
      <c r="AA54" t="s">
        <v>2519</v>
      </c>
    </row>
    <row r="55" spans="1:28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1735</v>
      </c>
      <c r="F55" t="s">
        <v>1806</v>
      </c>
      <c r="M55" t="s">
        <v>1980</v>
      </c>
      <c r="N55" t="s">
        <v>2777</v>
      </c>
      <c r="P55" t="s">
        <v>2877</v>
      </c>
      <c r="R55" t="s">
        <v>2073</v>
      </c>
      <c r="S55" t="s">
        <v>2195</v>
      </c>
      <c r="T55" t="s">
        <v>2241</v>
      </c>
      <c r="AA55" t="s">
        <v>2520</v>
      </c>
    </row>
    <row r="56" spans="1:28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1736</v>
      </c>
      <c r="F56" t="s">
        <v>1807</v>
      </c>
      <c r="M56" t="s">
        <v>1981</v>
      </c>
      <c r="N56" t="s">
        <v>2778</v>
      </c>
      <c r="P56" t="s">
        <v>2878</v>
      </c>
      <c r="R56" t="s">
        <v>2074</v>
      </c>
      <c r="S56" t="s">
        <v>2196</v>
      </c>
      <c r="T56" t="s">
        <v>2242</v>
      </c>
      <c r="AA56" t="s">
        <v>2521</v>
      </c>
    </row>
    <row r="57" spans="1:28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1808</v>
      </c>
      <c r="M57" t="s">
        <v>2728</v>
      </c>
      <c r="N57" t="s">
        <v>2779</v>
      </c>
      <c r="P57" t="s">
        <v>2879</v>
      </c>
      <c r="R57" t="s">
        <v>2075</v>
      </c>
      <c r="S57" t="s">
        <v>2197</v>
      </c>
      <c r="T57" t="s">
        <v>2243</v>
      </c>
      <c r="AA57" t="s">
        <v>2522</v>
      </c>
    </row>
    <row r="58" spans="1:28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1809</v>
      </c>
      <c r="M58" t="s">
        <v>2729</v>
      </c>
      <c r="N58" t="s">
        <v>2780</v>
      </c>
      <c r="R58" t="s">
        <v>2076</v>
      </c>
      <c r="S58" t="s">
        <v>2198</v>
      </c>
      <c r="T58" t="s">
        <v>2244</v>
      </c>
      <c r="AA58" t="s">
        <v>2523</v>
      </c>
    </row>
    <row r="59" spans="1:28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1810</v>
      </c>
      <c r="M59" t="s">
        <v>2730</v>
      </c>
      <c r="N59" t="s">
        <v>2781</v>
      </c>
      <c r="R59" t="s">
        <v>2077</v>
      </c>
      <c r="S59" t="s">
        <v>2199</v>
      </c>
      <c r="T59" t="s">
        <v>1192</v>
      </c>
      <c r="AA59" t="s">
        <v>2524</v>
      </c>
    </row>
    <row r="60" spans="1:28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1811</v>
      </c>
      <c r="M60" t="s">
        <v>2731</v>
      </c>
      <c r="N60" t="s">
        <v>2782</v>
      </c>
      <c r="R60" t="s">
        <v>2078</v>
      </c>
      <c r="S60" t="s">
        <v>2200</v>
      </c>
      <c r="T60" t="s">
        <v>1193</v>
      </c>
      <c r="AA60" t="s">
        <v>2525</v>
      </c>
    </row>
    <row r="61" spans="1:28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1737</v>
      </c>
      <c r="F61" t="s">
        <v>1812</v>
      </c>
      <c r="M61" t="s">
        <v>1982</v>
      </c>
      <c r="N61" t="s">
        <v>2783</v>
      </c>
      <c r="R61" t="s">
        <v>2079</v>
      </c>
      <c r="S61" t="s">
        <v>2201</v>
      </c>
      <c r="T61" t="s">
        <v>1865</v>
      </c>
      <c r="AA61" t="s">
        <v>2526</v>
      </c>
    </row>
    <row r="62" spans="1:28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1813</v>
      </c>
      <c r="M62" t="s">
        <v>1983</v>
      </c>
      <c r="N62" t="s">
        <v>2784</v>
      </c>
      <c r="R62" t="s">
        <v>2080</v>
      </c>
      <c r="S62" t="s">
        <v>2202</v>
      </c>
      <c r="T62" t="s">
        <v>1202</v>
      </c>
      <c r="AA62" t="s">
        <v>2527</v>
      </c>
    </row>
    <row r="63" spans="1:28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1814</v>
      </c>
      <c r="M63" t="s">
        <v>1984</v>
      </c>
      <c r="N63" t="s">
        <v>2785</v>
      </c>
      <c r="R63" t="s">
        <v>2081</v>
      </c>
      <c r="S63" t="s">
        <v>2203</v>
      </c>
      <c r="T63" t="s">
        <v>1204</v>
      </c>
      <c r="AA63" t="s">
        <v>2528</v>
      </c>
    </row>
    <row r="64" spans="1:28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1815</v>
      </c>
      <c r="M64" t="s">
        <v>1985</v>
      </c>
      <c r="N64" t="s">
        <v>2786</v>
      </c>
      <c r="R64" t="s">
        <v>2082</v>
      </c>
      <c r="S64" t="s">
        <v>2204</v>
      </c>
      <c r="T64" t="s">
        <v>1208</v>
      </c>
      <c r="AA64" t="s">
        <v>2529</v>
      </c>
    </row>
    <row r="65" spans="1:27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1816</v>
      </c>
      <c r="M65" t="s">
        <v>1986</v>
      </c>
      <c r="N65" t="s">
        <v>2787</v>
      </c>
      <c r="R65" t="s">
        <v>2083</v>
      </c>
      <c r="T65" t="s">
        <v>2245</v>
      </c>
      <c r="AA65" t="s">
        <v>2530</v>
      </c>
    </row>
    <row r="66" spans="1:27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1817</v>
      </c>
      <c r="M66" t="s">
        <v>2732</v>
      </c>
      <c r="N66" t="s">
        <v>2788</v>
      </c>
      <c r="R66" t="s">
        <v>2084</v>
      </c>
      <c r="T66" t="s">
        <v>2246</v>
      </c>
      <c r="AA66" t="s">
        <v>2531</v>
      </c>
    </row>
    <row r="67" spans="1:27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1818</v>
      </c>
      <c r="M67" t="s">
        <v>2733</v>
      </c>
      <c r="N67" t="s">
        <v>2789</v>
      </c>
      <c r="R67" t="s">
        <v>2085</v>
      </c>
      <c r="T67" t="s">
        <v>2247</v>
      </c>
      <c r="AA67" t="s">
        <v>2532</v>
      </c>
    </row>
    <row r="68" spans="1:27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1819</v>
      </c>
      <c r="M68" t="s">
        <v>2734</v>
      </c>
      <c r="N68" t="s">
        <v>2790</v>
      </c>
      <c r="R68" t="s">
        <v>2086</v>
      </c>
      <c r="T68" t="s">
        <v>2248</v>
      </c>
      <c r="AA68" t="s">
        <v>2533</v>
      </c>
    </row>
    <row r="69" spans="1:27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1820</v>
      </c>
      <c r="N69" t="s">
        <v>2791</v>
      </c>
      <c r="R69" t="s">
        <v>2087</v>
      </c>
      <c r="T69" t="s">
        <v>2249</v>
      </c>
      <c r="AA69" t="s">
        <v>2534</v>
      </c>
    </row>
    <row r="70" spans="1:27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1821</v>
      </c>
      <c r="N70" t="s">
        <v>2792</v>
      </c>
      <c r="R70" t="s">
        <v>2088</v>
      </c>
      <c r="T70" t="s">
        <v>2250</v>
      </c>
      <c r="AA70" t="s">
        <v>2535</v>
      </c>
    </row>
    <row r="71" spans="1:27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1822</v>
      </c>
      <c r="N71" t="s">
        <v>2793</v>
      </c>
      <c r="R71" t="s">
        <v>2089</v>
      </c>
      <c r="T71" t="s">
        <v>2251</v>
      </c>
      <c r="AA71" t="s">
        <v>2536</v>
      </c>
    </row>
    <row r="72" spans="1:27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1823</v>
      </c>
      <c r="N72" t="s">
        <v>2007</v>
      </c>
      <c r="R72" t="s">
        <v>2090</v>
      </c>
      <c r="T72" t="s">
        <v>2252</v>
      </c>
      <c r="AA72" t="s">
        <v>2537</v>
      </c>
    </row>
    <row r="73" spans="1:27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1824</v>
      </c>
      <c r="N73" t="s">
        <v>2008</v>
      </c>
      <c r="R73" t="s">
        <v>2091</v>
      </c>
      <c r="T73" t="s">
        <v>1237</v>
      </c>
      <c r="AA73" t="s">
        <v>2538</v>
      </c>
    </row>
    <row r="74" spans="1:27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1738</v>
      </c>
      <c r="F74" t="s">
        <v>1825</v>
      </c>
      <c r="N74" t="s">
        <v>2009</v>
      </c>
      <c r="R74" t="s">
        <v>2092</v>
      </c>
      <c r="T74" t="s">
        <v>1246</v>
      </c>
      <c r="AA74" t="s">
        <v>2539</v>
      </c>
    </row>
    <row r="75" spans="1:27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1739</v>
      </c>
      <c r="F75" t="s">
        <v>1826</v>
      </c>
      <c r="N75" t="s">
        <v>2010</v>
      </c>
      <c r="R75" t="s">
        <v>2093</v>
      </c>
      <c r="T75" t="s">
        <v>1248</v>
      </c>
      <c r="AA75" t="s">
        <v>2540</v>
      </c>
    </row>
    <row r="76" spans="1:27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1740</v>
      </c>
      <c r="F76" t="s">
        <v>1827</v>
      </c>
      <c r="N76" t="s">
        <v>2794</v>
      </c>
      <c r="R76" t="s">
        <v>2094</v>
      </c>
      <c r="T76" t="s">
        <v>1250</v>
      </c>
      <c r="AA76" t="s">
        <v>2541</v>
      </c>
    </row>
    <row r="77" spans="1:27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1741</v>
      </c>
      <c r="F77" t="s">
        <v>1828</v>
      </c>
      <c r="N77" t="s">
        <v>2011</v>
      </c>
      <c r="R77" t="s">
        <v>2095</v>
      </c>
      <c r="T77" t="s">
        <v>1252</v>
      </c>
      <c r="AA77" t="s">
        <v>2542</v>
      </c>
    </row>
    <row r="78" spans="1:27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1742</v>
      </c>
      <c r="F78" t="s">
        <v>1829</v>
      </c>
      <c r="N78" t="s">
        <v>2795</v>
      </c>
      <c r="R78" t="s">
        <v>2096</v>
      </c>
      <c r="T78" t="s">
        <v>1255</v>
      </c>
      <c r="AA78" t="s">
        <v>2543</v>
      </c>
    </row>
    <row r="79" spans="1:27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1830</v>
      </c>
      <c r="N79" t="s">
        <v>2796</v>
      </c>
      <c r="R79" t="s">
        <v>2097</v>
      </c>
      <c r="T79" t="s">
        <v>1257</v>
      </c>
      <c r="AA79" t="s">
        <v>2544</v>
      </c>
    </row>
    <row r="80" spans="1:27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1831</v>
      </c>
      <c r="N80" t="s">
        <v>2797</v>
      </c>
      <c r="R80" t="s">
        <v>2098</v>
      </c>
      <c r="T80" t="s">
        <v>2253</v>
      </c>
      <c r="AA80" t="s">
        <v>2545</v>
      </c>
    </row>
    <row r="81" spans="1:27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1832</v>
      </c>
      <c r="N81" t="s">
        <v>2798</v>
      </c>
      <c r="R81" t="s">
        <v>2099</v>
      </c>
      <c r="T81" t="s">
        <v>2254</v>
      </c>
      <c r="AA81" t="s">
        <v>2546</v>
      </c>
    </row>
    <row r="82" spans="1:27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1743</v>
      </c>
      <c r="F82" t="s">
        <v>1833</v>
      </c>
      <c r="N82" t="s">
        <v>2799</v>
      </c>
      <c r="R82" t="s">
        <v>2100</v>
      </c>
      <c r="T82" t="s">
        <v>2255</v>
      </c>
      <c r="AA82" t="s">
        <v>2547</v>
      </c>
    </row>
    <row r="83" spans="1:27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1834</v>
      </c>
      <c r="N83" t="s">
        <v>2800</v>
      </c>
      <c r="R83" t="s">
        <v>2101</v>
      </c>
      <c r="T83" t="s">
        <v>2256</v>
      </c>
      <c r="AA83" t="s">
        <v>2548</v>
      </c>
    </row>
    <row r="84" spans="1:27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1835</v>
      </c>
      <c r="N84" t="s">
        <v>2801</v>
      </c>
      <c r="R84" t="s">
        <v>2102</v>
      </c>
      <c r="T84" t="s">
        <v>2257</v>
      </c>
      <c r="AA84" t="s">
        <v>2549</v>
      </c>
    </row>
    <row r="85" spans="1:27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1836</v>
      </c>
      <c r="N85" t="s">
        <v>2802</v>
      </c>
      <c r="R85" t="s">
        <v>2103</v>
      </c>
      <c r="T85" t="s">
        <v>2258</v>
      </c>
      <c r="AA85" t="s">
        <v>2550</v>
      </c>
    </row>
    <row r="86" spans="1:27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1744</v>
      </c>
      <c r="F86" t="s">
        <v>1837</v>
      </c>
      <c r="N86" t="s">
        <v>2803</v>
      </c>
      <c r="R86" t="s">
        <v>2104</v>
      </c>
      <c r="T86" t="s">
        <v>2259</v>
      </c>
      <c r="AA86" t="s">
        <v>2551</v>
      </c>
    </row>
    <row r="87" spans="1:27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1838</v>
      </c>
      <c r="N87" t="s">
        <v>2804</v>
      </c>
      <c r="R87" t="s">
        <v>2105</v>
      </c>
      <c r="T87" t="s">
        <v>2260</v>
      </c>
      <c r="AA87" t="s">
        <v>2552</v>
      </c>
    </row>
    <row r="88" spans="1:27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1839</v>
      </c>
      <c r="N88" t="s">
        <v>2805</v>
      </c>
      <c r="R88" t="s">
        <v>2106</v>
      </c>
      <c r="T88" t="s">
        <v>2261</v>
      </c>
      <c r="AA88" t="s">
        <v>2553</v>
      </c>
    </row>
    <row r="89" spans="1:27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1745</v>
      </c>
      <c r="F89" t="s">
        <v>1840</v>
      </c>
      <c r="N89" t="s">
        <v>2806</v>
      </c>
      <c r="R89" t="s">
        <v>2107</v>
      </c>
      <c r="T89" t="s">
        <v>2262</v>
      </c>
      <c r="AA89" t="s">
        <v>2554</v>
      </c>
    </row>
    <row r="90" spans="1:27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1746</v>
      </c>
      <c r="F90" t="s">
        <v>1841</v>
      </c>
      <c r="N90" t="s">
        <v>2807</v>
      </c>
      <c r="R90" t="s">
        <v>2108</v>
      </c>
      <c r="T90" t="s">
        <v>1879</v>
      </c>
      <c r="AA90" t="s">
        <v>2555</v>
      </c>
    </row>
    <row r="91" spans="1:27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N91" t="s">
        <v>2808</v>
      </c>
      <c r="R91" t="s">
        <v>2109</v>
      </c>
      <c r="T91" t="s">
        <v>1880</v>
      </c>
      <c r="AA91" t="s">
        <v>2556</v>
      </c>
    </row>
    <row r="92" spans="1:27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R92" t="s">
        <v>2110</v>
      </c>
      <c r="T92" t="s">
        <v>2263</v>
      </c>
      <c r="AA92" t="s">
        <v>2557</v>
      </c>
    </row>
    <row r="93" spans="1:27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R93" t="s">
        <v>2111</v>
      </c>
      <c r="T93" t="s">
        <v>2264</v>
      </c>
      <c r="AA93" t="s">
        <v>2558</v>
      </c>
    </row>
    <row r="94" spans="1:27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1747</v>
      </c>
      <c r="F94" t="s">
        <v>1149</v>
      </c>
      <c r="R94" t="s">
        <v>2112</v>
      </c>
      <c r="T94" t="s">
        <v>2265</v>
      </c>
      <c r="AA94" t="s">
        <v>2559</v>
      </c>
    </row>
    <row r="95" spans="1:27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1748</v>
      </c>
      <c r="F95" t="s">
        <v>1150</v>
      </c>
      <c r="R95" t="s">
        <v>2113</v>
      </c>
      <c r="T95" t="s">
        <v>2266</v>
      </c>
      <c r="AA95" t="s">
        <v>2560</v>
      </c>
    </row>
    <row r="96" spans="1:27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1749</v>
      </c>
      <c r="F96" t="s">
        <v>1151</v>
      </c>
      <c r="R96" t="s">
        <v>2114</v>
      </c>
      <c r="T96" t="s">
        <v>2267</v>
      </c>
      <c r="AA96" t="s">
        <v>2561</v>
      </c>
    </row>
    <row r="97" spans="1:27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1750</v>
      </c>
      <c r="F97" t="s">
        <v>1152</v>
      </c>
      <c r="R97" t="s">
        <v>2115</v>
      </c>
      <c r="T97" t="s">
        <v>1277</v>
      </c>
      <c r="AA97" t="s">
        <v>2562</v>
      </c>
    </row>
    <row r="98" spans="1:27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R98" t="s">
        <v>2116</v>
      </c>
      <c r="T98" t="s">
        <v>1279</v>
      </c>
      <c r="AA98" t="s">
        <v>2563</v>
      </c>
    </row>
    <row r="99" spans="1:27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1751</v>
      </c>
      <c r="F99" t="s">
        <v>1154</v>
      </c>
      <c r="R99" t="s">
        <v>2117</v>
      </c>
      <c r="T99" t="s">
        <v>2268</v>
      </c>
      <c r="AA99" t="s">
        <v>2564</v>
      </c>
    </row>
    <row r="100" spans="1:27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R100" t="s">
        <v>2118</v>
      </c>
      <c r="T100" t="s">
        <v>1284</v>
      </c>
      <c r="AA100" t="s">
        <v>2565</v>
      </c>
    </row>
    <row r="101" spans="1:27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1842</v>
      </c>
      <c r="R101" t="s">
        <v>2119</v>
      </c>
      <c r="T101" t="s">
        <v>1286</v>
      </c>
      <c r="AA101" t="s">
        <v>2566</v>
      </c>
    </row>
    <row r="102" spans="1:27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1843</v>
      </c>
      <c r="R102" t="s">
        <v>2120</v>
      </c>
      <c r="T102" t="s">
        <v>2269</v>
      </c>
      <c r="AA102" t="s">
        <v>2567</v>
      </c>
    </row>
    <row r="103" spans="1:27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1844</v>
      </c>
      <c r="R103" t="s">
        <v>2121</v>
      </c>
      <c r="T103" t="s">
        <v>2270</v>
      </c>
    </row>
    <row r="104" spans="1:27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1845</v>
      </c>
      <c r="R104" t="s">
        <v>2122</v>
      </c>
      <c r="T104" t="s">
        <v>1291</v>
      </c>
    </row>
    <row r="105" spans="1:27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1846</v>
      </c>
      <c r="R105" t="s">
        <v>2123</v>
      </c>
      <c r="T105" t="s">
        <v>1295</v>
      </c>
    </row>
    <row r="106" spans="1:27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R106" t="s">
        <v>2124</v>
      </c>
      <c r="T106" t="s">
        <v>1297</v>
      </c>
    </row>
    <row r="107" spans="1:27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R107" t="s">
        <v>2125</v>
      </c>
      <c r="T107" t="s">
        <v>2271</v>
      </c>
    </row>
    <row r="108" spans="1:27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R108" t="s">
        <v>2126</v>
      </c>
      <c r="T108" t="s">
        <v>2272</v>
      </c>
    </row>
    <row r="109" spans="1:27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R109" t="s">
        <v>2127</v>
      </c>
      <c r="T109" t="s">
        <v>1891</v>
      </c>
    </row>
    <row r="110" spans="1:27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R110" t="s">
        <v>2128</v>
      </c>
      <c r="T110" t="s">
        <v>2273</v>
      </c>
    </row>
    <row r="111" spans="1:27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1847</v>
      </c>
      <c r="R111" t="s">
        <v>2129</v>
      </c>
      <c r="T111" t="s">
        <v>2274</v>
      </c>
    </row>
    <row r="112" spans="1:27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1848</v>
      </c>
      <c r="R112" t="s">
        <v>2130</v>
      </c>
      <c r="T112" t="s">
        <v>2275</v>
      </c>
    </row>
    <row r="113" spans="1:20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1849</v>
      </c>
      <c r="R113" t="s">
        <v>2131</v>
      </c>
      <c r="T113" t="s">
        <v>1323</v>
      </c>
    </row>
    <row r="114" spans="1:20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1850</v>
      </c>
      <c r="R114" t="s">
        <v>2132</v>
      </c>
      <c r="T114" t="s">
        <v>1327</v>
      </c>
    </row>
    <row r="115" spans="1:20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1851</v>
      </c>
      <c r="R115" t="s">
        <v>2133</v>
      </c>
      <c r="T115" t="s">
        <v>2276</v>
      </c>
    </row>
    <row r="116" spans="1:20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R116" t="s">
        <v>2134</v>
      </c>
      <c r="T116" t="s">
        <v>2277</v>
      </c>
    </row>
    <row r="117" spans="1:20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R117" t="s">
        <v>2135</v>
      </c>
      <c r="T117" t="s">
        <v>2278</v>
      </c>
    </row>
    <row r="118" spans="1:20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R118" t="s">
        <v>2136</v>
      </c>
      <c r="T118" t="s">
        <v>2279</v>
      </c>
    </row>
    <row r="119" spans="1:20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R119" t="s">
        <v>2137</v>
      </c>
      <c r="T119" t="s">
        <v>2280</v>
      </c>
    </row>
    <row r="120" spans="1:20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R120" t="s">
        <v>2138</v>
      </c>
      <c r="T120" t="s">
        <v>2281</v>
      </c>
    </row>
    <row r="121" spans="1:20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R121" t="s">
        <v>2139</v>
      </c>
      <c r="T121" t="s">
        <v>2282</v>
      </c>
    </row>
    <row r="122" spans="1:20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R122" t="s">
        <v>2140</v>
      </c>
      <c r="T122" t="s">
        <v>2283</v>
      </c>
    </row>
    <row r="123" spans="1:20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R123" t="s">
        <v>2141</v>
      </c>
      <c r="T123" t="s">
        <v>2284</v>
      </c>
    </row>
    <row r="124" spans="1:20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T124" t="s">
        <v>2285</v>
      </c>
    </row>
    <row r="125" spans="1:20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1852</v>
      </c>
      <c r="T125" t="s">
        <v>2286</v>
      </c>
    </row>
    <row r="126" spans="1:20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1853</v>
      </c>
      <c r="T126" t="s">
        <v>2287</v>
      </c>
    </row>
    <row r="127" spans="1:20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1854</v>
      </c>
      <c r="T127" t="s">
        <v>1332</v>
      </c>
    </row>
    <row r="128" spans="1:20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1855</v>
      </c>
      <c r="T128" t="s">
        <v>1334</v>
      </c>
    </row>
    <row r="129" spans="1:20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1856</v>
      </c>
      <c r="T129" t="s">
        <v>1336</v>
      </c>
    </row>
    <row r="130" spans="1:20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1857</v>
      </c>
      <c r="T130" t="s">
        <v>2288</v>
      </c>
    </row>
    <row r="131" spans="1:20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1858</v>
      </c>
      <c r="T131" t="s">
        <v>1343</v>
      </c>
    </row>
    <row r="132" spans="1:20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1859</v>
      </c>
      <c r="T132" t="s">
        <v>1350</v>
      </c>
    </row>
    <row r="133" spans="1:20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1860</v>
      </c>
      <c r="T133" t="s">
        <v>1352</v>
      </c>
    </row>
    <row r="134" spans="1:20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1861</v>
      </c>
      <c r="T134" t="s">
        <v>2289</v>
      </c>
    </row>
    <row r="135" spans="1:20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T135" t="s">
        <v>2290</v>
      </c>
    </row>
    <row r="136" spans="1:20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T136" t="s">
        <v>2291</v>
      </c>
    </row>
    <row r="137" spans="1:20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T137" t="s">
        <v>2292</v>
      </c>
    </row>
    <row r="138" spans="1:20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T138" t="s">
        <v>2293</v>
      </c>
    </row>
    <row r="139" spans="1:20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T139" t="s">
        <v>2294</v>
      </c>
    </row>
    <row r="140" spans="1:20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T140" t="s">
        <v>2295</v>
      </c>
    </row>
    <row r="141" spans="1:20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T141" t="s">
        <v>2296</v>
      </c>
    </row>
    <row r="142" spans="1:20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T142" t="s">
        <v>1373</v>
      </c>
    </row>
    <row r="143" spans="1:20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T143" t="s">
        <v>1375</v>
      </c>
    </row>
    <row r="144" spans="1:20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T144" t="s">
        <v>1377</v>
      </c>
    </row>
    <row r="145" spans="1:20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1862</v>
      </c>
      <c r="T145" t="s">
        <v>1384</v>
      </c>
    </row>
    <row r="146" spans="1:20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1863</v>
      </c>
      <c r="T146" t="s">
        <v>1386</v>
      </c>
    </row>
    <row r="147" spans="1:20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1864</v>
      </c>
      <c r="T147" t="s">
        <v>2297</v>
      </c>
    </row>
    <row r="148" spans="1:20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1865</v>
      </c>
      <c r="T148" t="s">
        <v>2298</v>
      </c>
    </row>
    <row r="149" spans="1:20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T149" t="s">
        <v>2299</v>
      </c>
    </row>
    <row r="150" spans="1:20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T150" t="s">
        <v>2300</v>
      </c>
    </row>
    <row r="151" spans="1:20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T151" t="s">
        <v>1407</v>
      </c>
    </row>
    <row r="152" spans="1:20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T152" t="s">
        <v>1409</v>
      </c>
    </row>
    <row r="153" spans="1:20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T153" t="s">
        <v>1411</v>
      </c>
    </row>
    <row r="154" spans="1:20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1866</v>
      </c>
      <c r="T154" t="s">
        <v>2301</v>
      </c>
    </row>
    <row r="155" spans="1:20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1867</v>
      </c>
      <c r="T155" t="s">
        <v>1420</v>
      </c>
    </row>
    <row r="156" spans="1:20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1868</v>
      </c>
      <c r="T156" t="s">
        <v>2302</v>
      </c>
    </row>
    <row r="157" spans="1:20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1869</v>
      </c>
      <c r="T157" t="s">
        <v>2303</v>
      </c>
    </row>
    <row r="158" spans="1:20" x14ac:dyDescent="0.25">
      <c r="A158" t="s">
        <v>164</v>
      </c>
      <c r="B158" t="s">
        <v>956</v>
      </c>
      <c r="C158" t="s">
        <v>1301</v>
      </c>
      <c r="F158" t="s">
        <v>1870</v>
      </c>
      <c r="T158" t="s">
        <v>2304</v>
      </c>
    </row>
    <row r="159" spans="1:20" x14ac:dyDescent="0.25">
      <c r="A159" t="s">
        <v>165</v>
      </c>
      <c r="B159" t="s">
        <v>957</v>
      </c>
      <c r="C159" t="s">
        <v>1302</v>
      </c>
      <c r="F159" t="s">
        <v>1231</v>
      </c>
      <c r="T159" t="s">
        <v>2305</v>
      </c>
    </row>
    <row r="160" spans="1:20" x14ac:dyDescent="0.25">
      <c r="A160" t="s">
        <v>166</v>
      </c>
      <c r="B160" t="s">
        <v>958</v>
      </c>
      <c r="C160" t="s">
        <v>1303</v>
      </c>
      <c r="F160" t="s">
        <v>1233</v>
      </c>
      <c r="T160" t="s">
        <v>2306</v>
      </c>
    </row>
    <row r="161" spans="1:20" x14ac:dyDescent="0.25">
      <c r="A161" t="s">
        <v>167</v>
      </c>
      <c r="B161" t="s">
        <v>959</v>
      </c>
      <c r="C161" t="s">
        <v>1304</v>
      </c>
      <c r="F161" t="s">
        <v>1235</v>
      </c>
      <c r="T161" t="s">
        <v>2307</v>
      </c>
    </row>
    <row r="162" spans="1:20" x14ac:dyDescent="0.25">
      <c r="A162" t="s">
        <v>168</v>
      </c>
      <c r="B162" t="s">
        <v>960</v>
      </c>
      <c r="C162" t="s">
        <v>1305</v>
      </c>
      <c r="F162" t="s">
        <v>1236</v>
      </c>
      <c r="T162" t="s">
        <v>2308</v>
      </c>
    </row>
    <row r="163" spans="1:20" x14ac:dyDescent="0.25">
      <c r="A163" t="s">
        <v>169</v>
      </c>
      <c r="B163" t="s">
        <v>961</v>
      </c>
      <c r="C163" t="s">
        <v>1306</v>
      </c>
      <c r="F163" t="s">
        <v>1239</v>
      </c>
      <c r="T163" t="s">
        <v>2309</v>
      </c>
    </row>
    <row r="164" spans="1:20" x14ac:dyDescent="0.25">
      <c r="A164" t="s">
        <v>170</v>
      </c>
      <c r="B164" t="s">
        <v>962</v>
      </c>
      <c r="C164" t="s">
        <v>1307</v>
      </c>
      <c r="F164" t="s">
        <v>1241</v>
      </c>
      <c r="T164" t="s">
        <v>2310</v>
      </c>
    </row>
    <row r="165" spans="1:20" x14ac:dyDescent="0.25">
      <c r="A165" t="s">
        <v>171</v>
      </c>
      <c r="B165" t="s">
        <v>963</v>
      </c>
      <c r="C165" t="s">
        <v>1308</v>
      </c>
      <c r="F165" t="s">
        <v>1243</v>
      </c>
      <c r="T165" t="s">
        <v>2311</v>
      </c>
    </row>
    <row r="166" spans="1:20" x14ac:dyDescent="0.25">
      <c r="A166" t="s">
        <v>172</v>
      </c>
      <c r="B166" t="s">
        <v>964</v>
      </c>
      <c r="C166" t="s">
        <v>1309</v>
      </c>
      <c r="F166" t="s">
        <v>1245</v>
      </c>
      <c r="T166" t="s">
        <v>2312</v>
      </c>
    </row>
    <row r="167" spans="1:20" x14ac:dyDescent="0.25">
      <c r="A167" t="s">
        <v>173</v>
      </c>
      <c r="B167" t="s">
        <v>965</v>
      </c>
      <c r="C167" t="s">
        <v>1310</v>
      </c>
      <c r="F167" t="s">
        <v>1248</v>
      </c>
      <c r="T167" t="s">
        <v>2313</v>
      </c>
    </row>
    <row r="168" spans="1:20" x14ac:dyDescent="0.25">
      <c r="A168" t="s">
        <v>174</v>
      </c>
      <c r="B168" t="s">
        <v>966</v>
      </c>
      <c r="C168" t="s">
        <v>1311</v>
      </c>
      <c r="F168" t="s">
        <v>1250</v>
      </c>
      <c r="T168" t="s">
        <v>2314</v>
      </c>
    </row>
    <row r="169" spans="1:20" x14ac:dyDescent="0.25">
      <c r="A169" t="s">
        <v>175</v>
      </c>
      <c r="B169" t="s">
        <v>967</v>
      </c>
      <c r="C169" t="s">
        <v>1312</v>
      </c>
      <c r="F169" t="s">
        <v>1252</v>
      </c>
      <c r="T169" t="s">
        <v>2315</v>
      </c>
    </row>
    <row r="170" spans="1:20" x14ac:dyDescent="0.25">
      <c r="A170" t="s">
        <v>176</v>
      </c>
      <c r="B170" t="s">
        <v>968</v>
      </c>
      <c r="C170" t="s">
        <v>1313</v>
      </c>
      <c r="F170" t="s">
        <v>1254</v>
      </c>
      <c r="T170" t="s">
        <v>1503</v>
      </c>
    </row>
    <row r="171" spans="1:20" x14ac:dyDescent="0.25">
      <c r="A171" t="s">
        <v>177</v>
      </c>
      <c r="B171" t="s">
        <v>969</v>
      </c>
      <c r="C171" t="s">
        <v>1314</v>
      </c>
      <c r="F171" t="s">
        <v>1871</v>
      </c>
      <c r="T171" t="s">
        <v>2316</v>
      </c>
    </row>
    <row r="172" spans="1:20" x14ac:dyDescent="0.25">
      <c r="A172" t="s">
        <v>178</v>
      </c>
      <c r="B172" t="s">
        <v>970</v>
      </c>
      <c r="C172" t="s">
        <v>1315</v>
      </c>
      <c r="F172" t="s">
        <v>1872</v>
      </c>
      <c r="T172" t="s">
        <v>2317</v>
      </c>
    </row>
    <row r="173" spans="1:20" x14ac:dyDescent="0.25">
      <c r="A173" t="s">
        <v>179</v>
      </c>
      <c r="B173" t="s">
        <v>971</v>
      </c>
      <c r="C173" t="s">
        <v>1316</v>
      </c>
      <c r="F173" t="s">
        <v>1873</v>
      </c>
      <c r="T173" t="s">
        <v>2318</v>
      </c>
    </row>
    <row r="174" spans="1:20" x14ac:dyDescent="0.25">
      <c r="A174" t="s">
        <v>180</v>
      </c>
      <c r="B174" t="s">
        <v>972</v>
      </c>
      <c r="C174" t="s">
        <v>1317</v>
      </c>
      <c r="F174" t="s">
        <v>1874</v>
      </c>
      <c r="T174" t="s">
        <v>2319</v>
      </c>
    </row>
    <row r="175" spans="1:20" x14ac:dyDescent="0.25">
      <c r="A175" t="s">
        <v>181</v>
      </c>
      <c r="B175" t="s">
        <v>973</v>
      </c>
      <c r="C175" t="s">
        <v>1318</v>
      </c>
      <c r="F175" t="s">
        <v>1875</v>
      </c>
    </row>
    <row r="176" spans="1:20" x14ac:dyDescent="0.25">
      <c r="A176" t="s">
        <v>182</v>
      </c>
      <c r="B176" t="s">
        <v>577</v>
      </c>
      <c r="C176" t="s">
        <v>1319</v>
      </c>
      <c r="F176" t="s">
        <v>1876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1877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1878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1879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1880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1881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1882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1883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1884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1885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1886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1887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1888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1889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1890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1891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1892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1893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1894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1895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1896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1897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1898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1899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1900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1901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1902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1903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1904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1905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1906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1907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1908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1909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1910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1911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1912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1913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">
    <tabColor rgb="FF000000"/>
  </sheetPr>
  <dimension ref="A1:R16"/>
  <sheetViews>
    <sheetView workbookViewId="0">
      <selection activeCell="E22" sqref="E22"/>
    </sheetView>
  </sheetViews>
  <sheetFormatPr defaultRowHeight="15" outlineLevelCol="1" x14ac:dyDescent="0.25"/>
  <cols>
    <col min="1" max="1" width="7.85546875" style="37" customWidth="1"/>
    <col min="2" max="2" width="24.5703125" style="37" customWidth="1"/>
    <col min="3" max="3" width="29.42578125" style="37" customWidth="1"/>
    <col min="4" max="4" width="7.85546875" style="37" customWidth="1"/>
    <col min="5" max="5" width="10.28515625" style="37" customWidth="1"/>
    <col min="6" max="6" width="12.7109375" style="37" customWidth="1"/>
    <col min="7" max="10" width="9.140625" style="37"/>
    <col min="11" max="17" width="9.140625" style="37" hidden="1" customWidth="1" outlineLevel="1"/>
    <col min="18" max="18" width="9.140625" style="37" collapsed="1"/>
    <col min="19" max="16384" width="9.140625" style="37"/>
  </cols>
  <sheetData>
    <row r="1" spans="1:6" ht="33" x14ac:dyDescent="0.25">
      <c r="A1" s="27" t="s">
        <v>2368</v>
      </c>
      <c r="B1" s="29" t="s">
        <v>2369</v>
      </c>
      <c r="C1" s="29" t="s">
        <v>2370</v>
      </c>
      <c r="D1" s="29" t="s">
        <v>2986</v>
      </c>
      <c r="E1" s="29" t="s">
        <v>2987</v>
      </c>
      <c r="F1" s="30" t="s">
        <v>2988</v>
      </c>
    </row>
    <row r="2" spans="1:6" ht="16.5" x14ac:dyDescent="0.25">
      <c r="A2" s="49" t="s">
        <v>2989</v>
      </c>
      <c r="B2" s="50"/>
      <c r="C2" s="50"/>
      <c r="D2" s="50"/>
      <c r="E2" s="50"/>
      <c r="F2" s="51"/>
    </row>
    <row r="3" spans="1:6" ht="16.5" x14ac:dyDescent="0.25">
      <c r="A3" s="28" t="s">
        <v>2646</v>
      </c>
      <c r="B3" s="35" t="s">
        <v>2466</v>
      </c>
      <c r="C3" s="35" t="s">
        <v>2647</v>
      </c>
      <c r="D3" s="35">
        <v>185</v>
      </c>
      <c r="E3" s="35">
        <v>2.65</v>
      </c>
      <c r="F3" s="31" t="s">
        <v>2653</v>
      </c>
    </row>
    <row r="4" spans="1:6" ht="16.5" x14ac:dyDescent="0.25">
      <c r="A4" s="28" t="s">
        <v>2620</v>
      </c>
      <c r="B4" s="47" t="s">
        <v>2467</v>
      </c>
      <c r="C4" s="35" t="s">
        <v>2621</v>
      </c>
      <c r="D4" s="35">
        <v>1</v>
      </c>
      <c r="E4" s="35">
        <v>5.48</v>
      </c>
      <c r="F4" s="31" t="s">
        <v>2990</v>
      </c>
    </row>
    <row r="5" spans="1:6" ht="16.5" x14ac:dyDescent="0.25">
      <c r="A5" s="28" t="s">
        <v>2626</v>
      </c>
      <c r="B5" s="47"/>
      <c r="C5" s="35" t="s">
        <v>2625</v>
      </c>
      <c r="D5" s="35">
        <v>2</v>
      </c>
      <c r="E5" s="35">
        <v>8.91</v>
      </c>
      <c r="F5" s="31" t="s">
        <v>2991</v>
      </c>
    </row>
    <row r="6" spans="1:6" ht="16.5" x14ac:dyDescent="0.25">
      <c r="A6" s="28" t="s">
        <v>2630</v>
      </c>
      <c r="B6" s="47"/>
      <c r="C6" s="35" t="s">
        <v>2629</v>
      </c>
      <c r="D6" s="35">
        <v>4</v>
      </c>
      <c r="E6" s="35">
        <v>17.149999999999999</v>
      </c>
      <c r="F6" s="31" t="s">
        <v>2992</v>
      </c>
    </row>
    <row r="7" spans="1:6" ht="16.5" x14ac:dyDescent="0.25">
      <c r="A7" s="28" t="s">
        <v>0</v>
      </c>
      <c r="B7" s="47" t="s">
        <v>2470</v>
      </c>
      <c r="C7" s="35" t="s">
        <v>2649</v>
      </c>
      <c r="D7" s="35">
        <v>1070</v>
      </c>
      <c r="E7" s="35">
        <v>1.38</v>
      </c>
      <c r="F7" s="31" t="s">
        <v>2654</v>
      </c>
    </row>
    <row r="8" spans="1:6" ht="16.5" x14ac:dyDescent="0.25">
      <c r="A8" s="28" t="s">
        <v>0</v>
      </c>
      <c r="B8" s="47"/>
      <c r="C8" s="35" t="s">
        <v>2650</v>
      </c>
      <c r="D8" s="35">
        <v>1720</v>
      </c>
      <c r="E8" s="35">
        <v>0.82000000000000006</v>
      </c>
      <c r="F8" s="31" t="s">
        <v>2662</v>
      </c>
    </row>
    <row r="9" spans="1:6" ht="16.5" x14ac:dyDescent="0.25">
      <c r="A9" s="28" t="s">
        <v>2466</v>
      </c>
      <c r="B9" s="47"/>
      <c r="C9" s="35" t="s">
        <v>2635</v>
      </c>
      <c r="D9" s="35">
        <v>9644.76</v>
      </c>
      <c r="E9" s="35">
        <v>0.88800000000000001</v>
      </c>
      <c r="F9" s="31" t="s">
        <v>2655</v>
      </c>
    </row>
    <row r="10" spans="1:6" ht="16.5" x14ac:dyDescent="0.25">
      <c r="A10" s="28" t="s">
        <v>0</v>
      </c>
      <c r="B10" s="47"/>
      <c r="C10" s="35" t="s">
        <v>2660</v>
      </c>
      <c r="D10" s="35">
        <v>1950</v>
      </c>
      <c r="E10" s="35">
        <v>0.06</v>
      </c>
      <c r="F10" s="31" t="s">
        <v>2663</v>
      </c>
    </row>
    <row r="11" spans="1:6" ht="16.5" x14ac:dyDescent="0.25">
      <c r="A11" s="28" t="s">
        <v>2466</v>
      </c>
      <c r="B11" s="35" t="s">
        <v>2466</v>
      </c>
      <c r="C11" s="35" t="s">
        <v>2656</v>
      </c>
      <c r="D11" s="35">
        <v>6.8</v>
      </c>
      <c r="E11" s="35" t="s">
        <v>4</v>
      </c>
      <c r="F11" s="31" t="s">
        <v>2358</v>
      </c>
    </row>
    <row r="12" spans="1:6" ht="33" x14ac:dyDescent="0.25">
      <c r="A12" s="28" t="s">
        <v>2466</v>
      </c>
      <c r="B12" s="35" t="s">
        <v>2469</v>
      </c>
      <c r="C12" s="35" t="s">
        <v>2659</v>
      </c>
      <c r="D12" s="35">
        <v>255.42499999999998</v>
      </c>
      <c r="E12" s="35" t="s">
        <v>4</v>
      </c>
      <c r="F12" s="31" t="s">
        <v>2361</v>
      </c>
    </row>
    <row r="13" spans="1:6" ht="16.5" x14ac:dyDescent="0.25">
      <c r="A13" s="28" t="s">
        <v>2466</v>
      </c>
      <c r="B13" s="47" t="s">
        <v>2418</v>
      </c>
      <c r="C13" s="35" t="s">
        <v>2634</v>
      </c>
      <c r="D13" s="35">
        <v>87.64</v>
      </c>
      <c r="E13" s="35" t="s">
        <v>4</v>
      </c>
      <c r="F13" s="31" t="s">
        <v>3</v>
      </c>
    </row>
    <row r="14" spans="1:6" ht="16.5" x14ac:dyDescent="0.25">
      <c r="A14" s="28" t="s">
        <v>2466</v>
      </c>
      <c r="B14" s="47"/>
      <c r="C14" s="35" t="s">
        <v>2631</v>
      </c>
      <c r="D14" s="35">
        <v>20.270000000000003</v>
      </c>
      <c r="E14" s="35" t="s">
        <v>4</v>
      </c>
      <c r="F14" s="31" t="s">
        <v>3</v>
      </c>
    </row>
    <row r="15" spans="1:6" ht="16.5" x14ac:dyDescent="0.25">
      <c r="A15" s="28" t="s">
        <v>2466</v>
      </c>
      <c r="B15" s="47"/>
      <c r="C15" s="35" t="s">
        <v>2632</v>
      </c>
      <c r="D15" s="35">
        <v>1460.55</v>
      </c>
      <c r="E15" s="35" t="s">
        <v>4</v>
      </c>
      <c r="F15" s="31" t="s">
        <v>2359</v>
      </c>
    </row>
    <row r="16" spans="1:6" ht="33.75" thickBot="1" x14ac:dyDescent="0.3">
      <c r="A16" s="32" t="s">
        <v>2466</v>
      </c>
      <c r="B16" s="33" t="s">
        <v>2466</v>
      </c>
      <c r="C16" s="33" t="s">
        <v>2657</v>
      </c>
      <c r="D16" s="33">
        <v>3.28</v>
      </c>
      <c r="E16" s="33" t="s">
        <v>4</v>
      </c>
      <c r="F16" s="34" t="s">
        <v>2359</v>
      </c>
    </row>
  </sheetData>
  <mergeCells count="4">
    <mergeCell ref="B13:B15"/>
    <mergeCell ref="A2:F2"/>
    <mergeCell ref="B4:B6"/>
    <mergeCell ref="B7:B10"/>
  </mergeCells>
  <conditionalFormatting sqref="A1:F16">
    <cfRule type="containsText" dxfId="374" priority="1" stopIfTrue="1" operator="containsText" text="С ЛИСТА">
      <formula>NOT(ISERROR(SEARCH("С ЛИСТА",A1)))</formula>
    </cfRule>
    <cfRule type="containsText" dxfId="373" priority="2" stopIfTrue="1" operator="containsText" text="ИЗ ФАЙЛА">
      <formula>NOT(ISERROR(SEARCH("ИЗ ФАЙЛА",A1)))</formula>
    </cfRule>
    <cfRule type="containsText" dxfId="372" priority="3" stopIfTrue="1" operator="containsText" text="!!!">
      <formula>NOT(ISERROR(SEARCH("!!!",A1)))</formula>
    </cfRule>
    <cfRule type="containsText" dxfId="371" priority="4" stopIfTrue="1" operator="containsText" text=" Заполнения проёмов ">
      <formula>NOT(ISERROR(SEARCH(" Заполнения проёмов ",A1)))</formula>
    </cfRule>
    <cfRule type="containsText" dxfId="370" priority="5" stopIfTrue="1" operator="containsText" text=" Сборочные единицы ">
      <formula>NOT(ISERROR(SEARCH(" Сборочные единицы ",A1)))</formula>
    </cfRule>
    <cfRule type="containsText" dxfId="369" priority="6" stopIfTrue="1" operator="containsText" text=" Заполнения проёмов ">
      <formula>NOT(ISERROR(SEARCH(" Заполнения проёмов ",A1)))</formula>
    </cfRule>
    <cfRule type="containsText" dxfId="368" priority="7" stopIfTrue="1" operator="containsText" text=" Сборочные единицы ">
      <formula>NOT(ISERROR(SEARCH(" Сборочные единицы ",A1)))</formula>
    </cfRule>
    <cfRule type="containsText" dxfId="367" priority="8" stopIfTrue="1" operator="containsText" text=" Изделия ">
      <formula>NOT(ISERROR(SEARCH(" Изделия ",A1)))</formula>
    </cfRule>
    <cfRule type="containsText" dxfId="366" priority="9" stopIfTrue="1" operator="containsText" text=" Материалы ">
      <formula>NOT(ISERROR(SEARCH(" Материалы ",A1)))</formula>
    </cfRule>
    <cfRule type="containsText" dxfId="365" priority="10" stopIfTrue="1" operator="containsText" text=" Изделия арматурные ">
      <formula>NOT(ISERROR(SEARCH(" Изделия арматурные ",A1)))</formula>
    </cfRule>
    <cfRule type="containsText" dxfId="364" priority="11" stopIfTrue="1" operator="containsText" text=" Прокат ">
      <formula>NOT(ISERROR(SEARCH(" Прокат ",A1)))</formula>
    </cfRule>
    <cfRule type="containsText" dxfId="363" priority="12" stopIfTrue="1" operator="containsText" text="Элементы на отм.">
      <formula>NOT(ISERROR(SEARCH("Элементы на отм.",A1)))</formula>
    </cfRule>
    <cfRule type="containsText" dxfId="362" priority="13" stopIfTrue="1" operator="containsText" text=", на ">
      <formula>NOT(ISERROR(SEARCH(", на ",A1)))</formula>
    </cfRule>
    <cfRule type="containsText" dxfId="361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E74-4EBD-46A0-8143-16FB79BE7DA0}">
  <sheetPr codeName="Лист4">
    <tabColor rgb="FF000000"/>
  </sheetPr>
  <dimension ref="A1:F2"/>
  <sheetViews>
    <sheetView workbookViewId="0">
      <selection activeCell="F24" sqref="F24"/>
    </sheetView>
  </sheetViews>
  <sheetFormatPr defaultRowHeight="15" x14ac:dyDescent="0.25"/>
  <cols>
    <col min="1" max="1" width="7.85546875" style="37" customWidth="1"/>
    <col min="2" max="2" width="24.5703125" style="37" customWidth="1"/>
    <col min="3" max="3" width="29.42578125" style="37" customWidth="1"/>
    <col min="4" max="4" width="7.85546875" style="37" customWidth="1"/>
    <col min="5" max="5" width="10.28515625" style="37" customWidth="1"/>
    <col min="6" max="6" width="12.7109375" style="37" customWidth="1"/>
    <col min="7" max="16384" width="9.140625" style="37"/>
  </cols>
  <sheetData>
    <row r="1" spans="1:6" ht="33" x14ac:dyDescent="0.25">
      <c r="A1" s="27" t="s">
        <v>2368</v>
      </c>
      <c r="B1" s="29" t="s">
        <v>2369</v>
      </c>
      <c r="C1" s="29" t="s">
        <v>2370</v>
      </c>
      <c r="D1" s="29" t="s">
        <v>2986</v>
      </c>
      <c r="E1" s="29" t="s">
        <v>2987</v>
      </c>
      <c r="F1" s="30" t="s">
        <v>2988</v>
      </c>
    </row>
    <row r="2" spans="1:6" ht="33.75" thickBot="1" x14ac:dyDescent="0.3">
      <c r="A2" s="32" t="s">
        <v>2640</v>
      </c>
      <c r="B2" s="33" t="s">
        <v>2466</v>
      </c>
      <c r="C2" s="33" t="s">
        <v>2658</v>
      </c>
      <c r="D2" s="33">
        <v>1</v>
      </c>
      <c r="E2" s="33">
        <v>12150.699999999999</v>
      </c>
      <c r="F2" s="34" t="s">
        <v>2996</v>
      </c>
    </row>
  </sheetData>
  <conditionalFormatting sqref="A1:F2">
    <cfRule type="containsText" dxfId="360" priority="1" stopIfTrue="1" operator="containsText" text="С ЛИСТА">
      <formula>NOT(ISERROR(SEARCH("С ЛИСТА",A1)))</formula>
    </cfRule>
    <cfRule type="containsText" dxfId="359" priority="2" stopIfTrue="1" operator="containsText" text="ИЗ ФАЙЛА">
      <formula>NOT(ISERROR(SEARCH("ИЗ ФАЙЛА",A1)))</formula>
    </cfRule>
    <cfRule type="containsText" dxfId="358" priority="3" stopIfTrue="1" operator="containsText" text="!!!">
      <formula>NOT(ISERROR(SEARCH("!!!",A1)))</formula>
    </cfRule>
    <cfRule type="containsText" dxfId="357" priority="4" stopIfTrue="1" operator="containsText" text=" Заполнения проёмов ">
      <formula>NOT(ISERROR(SEARCH(" Заполнения проёмов ",A1)))</formula>
    </cfRule>
    <cfRule type="containsText" dxfId="356" priority="5" stopIfTrue="1" operator="containsText" text=" Сборочные единицы ">
      <formula>NOT(ISERROR(SEARCH(" Сборочные единицы ",A1)))</formula>
    </cfRule>
    <cfRule type="containsText" dxfId="355" priority="6" stopIfTrue="1" operator="containsText" text=" Заполнения проёмов ">
      <formula>NOT(ISERROR(SEARCH(" Заполнения проёмов ",A1)))</formula>
    </cfRule>
    <cfRule type="containsText" dxfId="354" priority="7" stopIfTrue="1" operator="containsText" text=" Сборочные единицы ">
      <formula>NOT(ISERROR(SEARCH(" Сборочные единицы ",A1)))</formula>
    </cfRule>
    <cfRule type="containsText" dxfId="353" priority="8" stopIfTrue="1" operator="containsText" text=" Изделия ">
      <formula>NOT(ISERROR(SEARCH(" Изделия ",A1)))</formula>
    </cfRule>
    <cfRule type="containsText" dxfId="352" priority="9" stopIfTrue="1" operator="containsText" text=" Материалы ">
      <formula>NOT(ISERROR(SEARCH(" Материалы ",A1)))</formula>
    </cfRule>
    <cfRule type="containsText" dxfId="351" priority="10" stopIfTrue="1" operator="containsText" text=" Изделия арматурные ">
      <formula>NOT(ISERROR(SEARCH(" Изделия арматурные ",A1)))</formula>
    </cfRule>
    <cfRule type="containsText" dxfId="350" priority="11" stopIfTrue="1" operator="containsText" text=" Прокат ">
      <formula>NOT(ISERROR(SEARCH(" Прокат ",A1)))</formula>
    </cfRule>
    <cfRule type="containsText" dxfId="349" priority="12" stopIfTrue="1" operator="containsText" text="Элементы на отм.">
      <formula>NOT(ISERROR(SEARCH("Элементы на отм.",A1)))</formula>
    </cfRule>
    <cfRule type="containsText" dxfId="348" priority="13" stopIfTrue="1" operator="containsText" text=", на ">
      <formula>NOT(ISERROR(SEARCH(", на ",A1)))</formula>
    </cfRule>
    <cfRule type="containsText" dxfId="347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A9C91-E9FA-4428-AE56-6151BD3144CA}">
  <sheetPr codeName="Лист5">
    <tabColor rgb="FF000000"/>
  </sheetPr>
  <dimension ref="A1:T6"/>
  <sheetViews>
    <sheetView tabSelected="1" workbookViewId="0">
      <selection activeCell="F14" sqref="F14"/>
    </sheetView>
  </sheetViews>
  <sheetFormatPr defaultRowHeight="15" x14ac:dyDescent="0.25"/>
  <cols>
    <col min="1" max="1" width="16.28515625" style="37" customWidth="1"/>
    <col min="2" max="20" width="8.140625" style="37" customWidth="1"/>
    <col min="21" max="16384" width="9.140625" style="37"/>
  </cols>
  <sheetData>
    <row r="1" spans="1:20" ht="22.7" customHeight="1" x14ac:dyDescent="0.25">
      <c r="A1" s="53" t="s">
        <v>2999</v>
      </c>
      <c r="B1" s="54" t="s">
        <v>3000</v>
      </c>
      <c r="C1" s="54"/>
      <c r="D1" s="54"/>
      <c r="E1" s="54"/>
      <c r="F1" s="54"/>
      <c r="G1" s="54"/>
      <c r="H1" s="54" t="s">
        <v>3001</v>
      </c>
      <c r="I1" s="54"/>
      <c r="J1" s="54"/>
      <c r="K1" s="54"/>
      <c r="L1" s="54"/>
      <c r="M1" s="54"/>
      <c r="N1" s="54"/>
      <c r="O1" s="54"/>
      <c r="P1" s="54"/>
      <c r="Q1" s="42" t="s">
        <v>3002</v>
      </c>
      <c r="R1" s="53" t="s">
        <v>3003</v>
      </c>
      <c r="S1" s="54"/>
      <c r="T1" s="55" t="s">
        <v>3002</v>
      </c>
    </row>
    <row r="2" spans="1:20" ht="35.25" customHeight="1" x14ac:dyDescent="0.25">
      <c r="A2" s="46"/>
      <c r="B2" s="47" t="s">
        <v>3004</v>
      </c>
      <c r="C2" s="47"/>
      <c r="D2" s="47"/>
      <c r="E2" s="47"/>
      <c r="F2" s="47"/>
      <c r="G2" s="47" t="s">
        <v>3002</v>
      </c>
      <c r="H2" s="47" t="s">
        <v>3004</v>
      </c>
      <c r="I2" s="47"/>
      <c r="J2" s="47" t="s">
        <v>2371</v>
      </c>
      <c r="K2" s="47"/>
      <c r="L2" s="47"/>
      <c r="M2" s="47"/>
      <c r="N2" s="47"/>
      <c r="O2" s="47"/>
      <c r="P2" s="47" t="s">
        <v>3002</v>
      </c>
      <c r="Q2" s="62"/>
      <c r="R2" s="66" t="s">
        <v>2634</v>
      </c>
      <c r="S2" s="67" t="s">
        <v>2631</v>
      </c>
      <c r="T2" s="48"/>
    </row>
    <row r="3" spans="1:20" ht="35.25" customHeight="1" x14ac:dyDescent="0.25">
      <c r="A3" s="46"/>
      <c r="B3" s="47" t="s">
        <v>2</v>
      </c>
      <c r="C3" s="47"/>
      <c r="D3" s="47" t="s">
        <v>1</v>
      </c>
      <c r="E3" s="47"/>
      <c r="F3" s="47"/>
      <c r="G3" s="47"/>
      <c r="H3" s="47" t="s">
        <v>2</v>
      </c>
      <c r="I3" s="47"/>
      <c r="J3" s="47" t="s">
        <v>3005</v>
      </c>
      <c r="K3" s="47"/>
      <c r="L3" s="47"/>
      <c r="M3" s="47"/>
      <c r="N3" s="47"/>
      <c r="O3" s="47"/>
      <c r="P3" s="47"/>
      <c r="Q3" s="62"/>
      <c r="R3" s="66"/>
      <c r="S3" s="67"/>
      <c r="T3" s="48"/>
    </row>
    <row r="4" spans="1:20" ht="22.7" customHeight="1" x14ac:dyDescent="0.25">
      <c r="A4" s="46"/>
      <c r="B4" s="47" t="s">
        <v>2470</v>
      </c>
      <c r="C4" s="47"/>
      <c r="D4" s="47"/>
      <c r="E4" s="47"/>
      <c r="F4" s="47"/>
      <c r="G4" s="47"/>
      <c r="H4" s="47" t="s">
        <v>2470</v>
      </c>
      <c r="I4" s="47"/>
      <c r="J4" s="47" t="s">
        <v>3006</v>
      </c>
      <c r="K4" s="47"/>
      <c r="L4" s="47"/>
      <c r="M4" s="47" t="s">
        <v>2468</v>
      </c>
      <c r="N4" s="47"/>
      <c r="O4" s="47"/>
      <c r="P4" s="47"/>
      <c r="Q4" s="62"/>
      <c r="R4" s="66"/>
      <c r="S4" s="67"/>
      <c r="T4" s="48"/>
    </row>
    <row r="5" spans="1:20" ht="22.7" customHeight="1" thickBot="1" x14ac:dyDescent="0.3">
      <c r="A5" s="58"/>
      <c r="B5" s="52" t="s">
        <v>3007</v>
      </c>
      <c r="C5" s="52" t="s">
        <v>3002</v>
      </c>
      <c r="D5" s="52" t="s">
        <v>3008</v>
      </c>
      <c r="E5" s="52" t="s">
        <v>3009</v>
      </c>
      <c r="F5" s="52" t="s">
        <v>3002</v>
      </c>
      <c r="G5" s="59"/>
      <c r="H5" s="52" t="s">
        <v>3010</v>
      </c>
      <c r="I5" s="52" t="s">
        <v>3002</v>
      </c>
      <c r="J5" s="52" t="s">
        <v>2430</v>
      </c>
      <c r="K5" s="52" t="s">
        <v>2428</v>
      </c>
      <c r="L5" s="52" t="s">
        <v>3002</v>
      </c>
      <c r="M5" s="52" t="s">
        <v>2127</v>
      </c>
      <c r="N5" s="52" t="s">
        <v>2139</v>
      </c>
      <c r="O5" s="52" t="s">
        <v>3002</v>
      </c>
      <c r="P5" s="59"/>
      <c r="Q5" s="63"/>
      <c r="R5" s="66"/>
      <c r="S5" s="67"/>
      <c r="T5" s="48"/>
    </row>
    <row r="6" spans="1:20" ht="22.7" customHeight="1" thickBot="1" x14ac:dyDescent="0.3">
      <c r="A6" s="60" t="s">
        <v>3011</v>
      </c>
      <c r="B6" s="61">
        <v>11451.55</v>
      </c>
      <c r="C6" s="61">
        <v>11451.55</v>
      </c>
      <c r="D6" s="61">
        <v>117</v>
      </c>
      <c r="E6" s="61">
        <v>490.25</v>
      </c>
      <c r="F6" s="61">
        <v>607.25</v>
      </c>
      <c r="G6" s="61">
        <v>12058.8</v>
      </c>
      <c r="H6" s="61">
        <v>0.88</v>
      </c>
      <c r="I6" s="61">
        <v>0.88</v>
      </c>
      <c r="J6" s="61">
        <v>4.04</v>
      </c>
      <c r="K6" s="61">
        <v>4.5299999999999994</v>
      </c>
      <c r="L6" s="61">
        <v>8.56</v>
      </c>
      <c r="M6" s="61">
        <v>65.959999999999994</v>
      </c>
      <c r="N6" s="61">
        <v>16.5</v>
      </c>
      <c r="O6" s="61">
        <v>82.46</v>
      </c>
      <c r="P6" s="61">
        <v>91.9</v>
      </c>
      <c r="Q6" s="64">
        <v>12150.7</v>
      </c>
      <c r="R6" s="32">
        <v>87.64</v>
      </c>
      <c r="S6" s="33">
        <v>20.28</v>
      </c>
      <c r="T6" s="65">
        <v>107.92</v>
      </c>
    </row>
  </sheetData>
  <mergeCells count="21">
    <mergeCell ref="P2:P5"/>
    <mergeCell ref="J2:O2"/>
    <mergeCell ref="B3:C3"/>
    <mergeCell ref="D3:F3"/>
    <mergeCell ref="H3:I3"/>
    <mergeCell ref="J3:O3"/>
    <mergeCell ref="B4:F4"/>
    <mergeCell ref="H4:I4"/>
    <mergeCell ref="J4:L4"/>
    <mergeCell ref="M4:O4"/>
    <mergeCell ref="G2:G5"/>
    <mergeCell ref="R1:S1"/>
    <mergeCell ref="T1:T5"/>
    <mergeCell ref="R2:R5"/>
    <mergeCell ref="S2:S5"/>
    <mergeCell ref="A1:A5"/>
    <mergeCell ref="Q1:Q5"/>
    <mergeCell ref="B1:G1"/>
    <mergeCell ref="H1:P1"/>
    <mergeCell ref="B2:F2"/>
    <mergeCell ref="H2:I2"/>
  </mergeCells>
  <conditionalFormatting sqref="A1:Q5">
    <cfRule type="containsText" dxfId="346" priority="29" stopIfTrue="1" operator="containsText" text="С ЛИСТА">
      <formula>NOT(ISERROR(SEARCH("С ЛИСТА",A1)))</formula>
    </cfRule>
    <cfRule type="containsText" dxfId="345" priority="30" stopIfTrue="1" operator="containsText" text="ИЗ ФАЙЛА">
      <formula>NOT(ISERROR(SEARCH("ИЗ ФАЙЛА",A1)))</formula>
    </cfRule>
    <cfRule type="containsText" dxfId="344" priority="31" stopIfTrue="1" operator="containsText" text="!!!">
      <formula>NOT(ISERROR(SEARCH("!!!",A1)))</formula>
    </cfRule>
    <cfRule type="containsText" dxfId="343" priority="32" stopIfTrue="1" operator="containsText" text=" Заполнения проёмов ">
      <formula>NOT(ISERROR(SEARCH(" Заполнения проёмов ",A1)))</formula>
    </cfRule>
    <cfRule type="containsText" dxfId="342" priority="33" stopIfTrue="1" operator="containsText" text=" Сборочные единицы ">
      <formula>NOT(ISERROR(SEARCH(" Сборочные единицы ",A1)))</formula>
    </cfRule>
    <cfRule type="containsText" dxfId="341" priority="34" stopIfTrue="1" operator="containsText" text=" Заполнения проёмов ">
      <formula>NOT(ISERROR(SEARCH(" Заполнения проёмов ",A1)))</formula>
    </cfRule>
    <cfRule type="containsText" dxfId="340" priority="35" stopIfTrue="1" operator="containsText" text=" Сборочные единицы ">
      <formula>NOT(ISERROR(SEARCH(" Сборочные единицы ",A1)))</formula>
    </cfRule>
    <cfRule type="containsText" dxfId="339" priority="36" stopIfTrue="1" operator="containsText" text=" Изделия ">
      <formula>NOT(ISERROR(SEARCH(" Изделия ",A1)))</formula>
    </cfRule>
    <cfRule type="containsText" dxfId="338" priority="37" stopIfTrue="1" operator="containsText" text=" Материалы ">
      <formula>NOT(ISERROR(SEARCH(" Материалы ",A1)))</formula>
    </cfRule>
    <cfRule type="containsText" dxfId="337" priority="38" stopIfTrue="1" operator="containsText" text=" Изделия арматурные ">
      <formula>NOT(ISERROR(SEARCH(" Изделия арматурные ",A1)))</formula>
    </cfRule>
    <cfRule type="containsText" dxfId="336" priority="39" stopIfTrue="1" operator="containsText" text=" Прокат ">
      <formula>NOT(ISERROR(SEARCH(" Прокат ",A1)))</formula>
    </cfRule>
    <cfRule type="containsText" dxfId="335" priority="40" stopIfTrue="1" operator="containsText" text="Элементы на отм.">
      <formula>NOT(ISERROR(SEARCH("Элементы на отм.",A1)))</formula>
    </cfRule>
    <cfRule type="containsText" dxfId="334" priority="41" stopIfTrue="1" operator="containsText" text=", на ">
      <formula>NOT(ISERROR(SEARCH(", на ",A1)))</formula>
    </cfRule>
    <cfRule type="containsText" dxfId="333" priority="42" stopIfTrue="1" operator="containsText" text="шт.)">
      <formula>NOT(ISERROR(SEARCH("шт.)",A1)))</formula>
    </cfRule>
  </conditionalFormatting>
  <conditionalFormatting sqref="A6:Q6">
    <cfRule type="containsText" dxfId="332" priority="15" stopIfTrue="1" operator="containsText" text="С ЛИСТА">
      <formula>NOT(ISERROR(SEARCH("С ЛИСТА",A6)))</formula>
    </cfRule>
    <cfRule type="containsText" dxfId="331" priority="16" stopIfTrue="1" operator="containsText" text="ИЗ ФАЙЛА">
      <formula>NOT(ISERROR(SEARCH("ИЗ ФАЙЛА",A6)))</formula>
    </cfRule>
    <cfRule type="containsText" dxfId="330" priority="17" stopIfTrue="1" operator="containsText" text="!!!">
      <formula>NOT(ISERROR(SEARCH("!!!",A6)))</formula>
    </cfRule>
    <cfRule type="containsText" dxfId="329" priority="18" stopIfTrue="1" operator="containsText" text=" Заполнения проёмов ">
      <formula>NOT(ISERROR(SEARCH(" Заполнения проёмов ",A6)))</formula>
    </cfRule>
    <cfRule type="containsText" dxfId="328" priority="19" stopIfTrue="1" operator="containsText" text=" Сборочные единицы ">
      <formula>NOT(ISERROR(SEARCH(" Сборочные единицы ",A6)))</formula>
    </cfRule>
    <cfRule type="containsText" dxfId="327" priority="20" stopIfTrue="1" operator="containsText" text=" Заполнения проёмов ">
      <formula>NOT(ISERROR(SEARCH(" Заполнения проёмов ",A6)))</formula>
    </cfRule>
    <cfRule type="containsText" dxfId="326" priority="21" stopIfTrue="1" operator="containsText" text=" Сборочные единицы ">
      <formula>NOT(ISERROR(SEARCH(" Сборочные единицы ",A6)))</formula>
    </cfRule>
    <cfRule type="containsText" dxfId="325" priority="22" stopIfTrue="1" operator="containsText" text=" Изделия ">
      <formula>NOT(ISERROR(SEARCH(" Изделия ",A6)))</formula>
    </cfRule>
    <cfRule type="containsText" dxfId="324" priority="23" stopIfTrue="1" operator="containsText" text=" Материалы ">
      <formula>NOT(ISERROR(SEARCH(" Материалы ",A6)))</formula>
    </cfRule>
    <cfRule type="containsText" dxfId="323" priority="24" stopIfTrue="1" operator="containsText" text=" Изделия арматурные ">
      <formula>NOT(ISERROR(SEARCH(" Изделия арматурные ",A6)))</formula>
    </cfRule>
    <cfRule type="containsText" dxfId="322" priority="25" stopIfTrue="1" operator="containsText" text=" Прокат ">
      <formula>NOT(ISERROR(SEARCH(" Прокат ",A6)))</formula>
    </cfRule>
    <cfRule type="containsText" dxfId="321" priority="26" stopIfTrue="1" operator="containsText" text="Элементы на отм.">
      <formula>NOT(ISERROR(SEARCH("Элементы на отм.",A6)))</formula>
    </cfRule>
    <cfRule type="containsText" dxfId="320" priority="27" stopIfTrue="1" operator="containsText" text=", на ">
      <formula>NOT(ISERROR(SEARCH(", на ",A6)))</formula>
    </cfRule>
    <cfRule type="containsText" dxfId="319" priority="28" stopIfTrue="1" operator="containsText" text="шт.)">
      <formula>NOT(ISERROR(SEARCH("шт.)",A6)))</formula>
    </cfRule>
  </conditionalFormatting>
  <conditionalFormatting sqref="R1:T6">
    <cfRule type="containsText" dxfId="318" priority="1" stopIfTrue="1" operator="containsText" text="С ЛИСТА">
      <formula>NOT(ISERROR(SEARCH("С ЛИСТА",R1)))</formula>
    </cfRule>
    <cfRule type="containsText" dxfId="317" priority="2" stopIfTrue="1" operator="containsText" text="ИЗ ФАЙЛА">
      <formula>NOT(ISERROR(SEARCH("ИЗ ФАЙЛА",R1)))</formula>
    </cfRule>
    <cfRule type="containsText" dxfId="316" priority="3" stopIfTrue="1" operator="containsText" text="!!!">
      <formula>NOT(ISERROR(SEARCH("!!!",R1)))</formula>
    </cfRule>
    <cfRule type="containsText" dxfId="315" priority="4" stopIfTrue="1" operator="containsText" text=" Заполнения проёмов ">
      <formula>NOT(ISERROR(SEARCH(" Заполнения проёмов ",R1)))</formula>
    </cfRule>
    <cfRule type="containsText" dxfId="314" priority="5" stopIfTrue="1" operator="containsText" text=" Сборочные единицы ">
      <formula>NOT(ISERROR(SEARCH(" Сборочные единицы ",R1)))</formula>
    </cfRule>
    <cfRule type="containsText" dxfId="313" priority="6" stopIfTrue="1" operator="containsText" text=" Заполнения проёмов ">
      <formula>NOT(ISERROR(SEARCH(" Заполнения проёмов ",R1)))</formula>
    </cfRule>
    <cfRule type="containsText" dxfId="312" priority="7" stopIfTrue="1" operator="containsText" text=" Сборочные единицы ">
      <formula>NOT(ISERROR(SEARCH(" Сборочные единицы ",R1)))</formula>
    </cfRule>
    <cfRule type="containsText" dxfId="311" priority="8" stopIfTrue="1" operator="containsText" text=" Изделия ">
      <formula>NOT(ISERROR(SEARCH(" Изделия ",R1)))</formula>
    </cfRule>
    <cfRule type="containsText" dxfId="310" priority="9" stopIfTrue="1" operator="containsText" text=" Материалы ">
      <formula>NOT(ISERROR(SEARCH(" Материалы ",R1)))</formula>
    </cfRule>
    <cfRule type="containsText" dxfId="309" priority="10" stopIfTrue="1" operator="containsText" text=" Изделия арматурные ">
      <formula>NOT(ISERROR(SEARCH(" Изделия арматурные ",R1)))</formula>
    </cfRule>
    <cfRule type="containsText" dxfId="308" priority="11" stopIfTrue="1" operator="containsText" text=" Прокат ">
      <formula>NOT(ISERROR(SEARCH(" Прокат ",R1)))</formula>
    </cfRule>
    <cfRule type="containsText" dxfId="307" priority="12" stopIfTrue="1" operator="containsText" text="Элементы на отм.">
      <formula>NOT(ISERROR(SEARCH("Элементы на отм.",R1)))</formula>
    </cfRule>
    <cfRule type="containsText" dxfId="306" priority="13" stopIfTrue="1" operator="containsText" text=", на ">
      <formula>NOT(ISERROR(SEARCH(", на ",R1)))</formula>
    </cfRule>
    <cfRule type="containsText" dxfId="305" priority="14" stopIfTrue="1" operator="containsText" text="шт.)">
      <formula>NOT(ISERROR(SEARCH("шт.)",R1)))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D1A61-F723-41F7-A454-CDC77C09A6C8}">
  <sheetPr codeName="Лист6">
    <tabColor rgb="FF000000"/>
  </sheetPr>
  <dimension ref="A1:R23"/>
  <sheetViews>
    <sheetView workbookViewId="0">
      <selection activeCell="H28" sqref="H28"/>
    </sheetView>
  </sheetViews>
  <sheetFormatPr defaultRowHeight="15" outlineLevelCol="1" x14ac:dyDescent="0.25"/>
  <cols>
    <col min="1" max="3" width="15.7109375" style="37" customWidth="1"/>
    <col min="4" max="4" width="5.7109375" style="37" customWidth="1"/>
    <col min="5" max="7" width="8.28515625" style="37" customWidth="1"/>
    <col min="8" max="8" width="13.28515625" style="37" customWidth="1"/>
    <col min="9" max="10" width="9.140625" style="37"/>
    <col min="11" max="17" width="9.140625" style="37" hidden="1" customWidth="1" outlineLevel="1"/>
    <col min="18" max="18" width="9.140625" style="37" collapsed="1"/>
    <col min="19" max="16384" width="9.140625" style="37"/>
  </cols>
  <sheetData>
    <row r="1" spans="1:8" ht="42.6" customHeight="1" x14ac:dyDescent="0.25">
      <c r="A1" s="53" t="s">
        <v>3020</v>
      </c>
      <c r="B1" s="54" t="s">
        <v>3021</v>
      </c>
      <c r="C1" s="54" t="s">
        <v>3022</v>
      </c>
      <c r="D1" s="54" t="s">
        <v>3023</v>
      </c>
      <c r="E1" s="54" t="s">
        <v>3024</v>
      </c>
      <c r="F1" s="54"/>
      <c r="G1" s="54"/>
      <c r="H1" s="55" t="s">
        <v>3025</v>
      </c>
    </row>
    <row r="2" spans="1:8" ht="42.6" customHeight="1" x14ac:dyDescent="0.25">
      <c r="A2" s="46"/>
      <c r="B2" s="47"/>
      <c r="C2" s="47"/>
      <c r="D2" s="47"/>
      <c r="E2" s="35" t="s">
        <v>3017</v>
      </c>
      <c r="F2" s="35" t="s">
        <v>3018</v>
      </c>
      <c r="G2" s="35" t="s">
        <v>3019</v>
      </c>
      <c r="H2" s="48"/>
    </row>
    <row r="3" spans="1:8" ht="11.45" customHeight="1" x14ac:dyDescent="0.25">
      <c r="A3" s="28">
        <v>1</v>
      </c>
      <c r="B3" s="35">
        <v>2</v>
      </c>
      <c r="C3" s="35">
        <v>3</v>
      </c>
      <c r="D3" s="35">
        <v>4</v>
      </c>
      <c r="E3" s="35">
        <v>5</v>
      </c>
      <c r="F3" s="35">
        <v>6</v>
      </c>
      <c r="G3" s="35">
        <v>7</v>
      </c>
      <c r="H3" s="31">
        <v>8</v>
      </c>
    </row>
    <row r="4" spans="1:8" ht="16.5" x14ac:dyDescent="0.25">
      <c r="A4" s="46" t="s">
        <v>3026</v>
      </c>
      <c r="B4" s="47" t="s">
        <v>3027</v>
      </c>
      <c r="C4" s="35" t="s">
        <v>2815</v>
      </c>
      <c r="D4" s="35">
        <v>1</v>
      </c>
      <c r="E4" s="68">
        <v>0.64</v>
      </c>
      <c r="F4" s="68" t="s">
        <v>2466</v>
      </c>
      <c r="G4" s="68" t="s">
        <v>2466</v>
      </c>
      <c r="H4" s="69">
        <v>0.64</v>
      </c>
    </row>
    <row r="5" spans="1:8" ht="16.5" x14ac:dyDescent="0.25">
      <c r="A5" s="46"/>
      <c r="B5" s="47"/>
      <c r="C5" s="35" t="s">
        <v>2703</v>
      </c>
      <c r="D5" s="35">
        <v>2</v>
      </c>
      <c r="E5" s="68" t="s">
        <v>2466</v>
      </c>
      <c r="F5" s="68">
        <v>0.78</v>
      </c>
      <c r="G5" s="68" t="s">
        <v>2466</v>
      </c>
      <c r="H5" s="69">
        <v>0.78</v>
      </c>
    </row>
    <row r="6" spans="1:8" ht="16.5" x14ac:dyDescent="0.25">
      <c r="A6" s="46"/>
      <c r="B6" s="47"/>
      <c r="C6" s="35" t="s">
        <v>1967</v>
      </c>
      <c r="D6" s="35">
        <v>3</v>
      </c>
      <c r="E6" s="68" t="s">
        <v>2466</v>
      </c>
      <c r="F6" s="68" t="s">
        <v>2466</v>
      </c>
      <c r="G6" s="68">
        <v>3.41</v>
      </c>
      <c r="H6" s="69">
        <v>3.41</v>
      </c>
    </row>
    <row r="7" spans="1:8" ht="16.5" x14ac:dyDescent="0.25">
      <c r="A7" s="46"/>
      <c r="B7" s="47"/>
      <c r="C7" s="35" t="s">
        <v>1968</v>
      </c>
      <c r="D7" s="35">
        <v>4</v>
      </c>
      <c r="E7" s="68">
        <v>6.86</v>
      </c>
      <c r="F7" s="68" t="s">
        <v>2466</v>
      </c>
      <c r="G7" s="68" t="s">
        <v>2466</v>
      </c>
      <c r="H7" s="69">
        <v>6.86</v>
      </c>
    </row>
    <row r="8" spans="1:8" ht="16.5" x14ac:dyDescent="0.25">
      <c r="A8" s="46"/>
      <c r="B8" s="47"/>
      <c r="C8" s="35" t="s">
        <v>2704</v>
      </c>
      <c r="D8" s="35">
        <v>5</v>
      </c>
      <c r="E8" s="68" t="s">
        <v>2466</v>
      </c>
      <c r="F8" s="68">
        <v>10.7</v>
      </c>
      <c r="G8" s="68" t="s">
        <v>2466</v>
      </c>
      <c r="H8" s="69">
        <v>10.7</v>
      </c>
    </row>
    <row r="9" spans="1:8" ht="16.5" x14ac:dyDescent="0.25">
      <c r="A9" s="46"/>
      <c r="B9" s="47"/>
      <c r="C9" s="35" t="s">
        <v>2705</v>
      </c>
      <c r="D9" s="35">
        <v>6</v>
      </c>
      <c r="E9" s="68" t="s">
        <v>2466</v>
      </c>
      <c r="F9" s="68" t="s">
        <v>2466</v>
      </c>
      <c r="G9" s="68">
        <v>16.55</v>
      </c>
      <c r="H9" s="69">
        <v>16.55</v>
      </c>
    </row>
    <row r="10" spans="1:8" ht="16.5" x14ac:dyDescent="0.25">
      <c r="A10" s="46"/>
      <c r="B10" s="47" t="s">
        <v>3028</v>
      </c>
      <c r="C10" s="47"/>
      <c r="D10" s="35">
        <v>7</v>
      </c>
      <c r="E10" s="68">
        <v>7.5</v>
      </c>
      <c r="F10" s="68">
        <v>11.479999999999999</v>
      </c>
      <c r="G10" s="68">
        <v>19.96</v>
      </c>
      <c r="H10" s="69">
        <v>38.94</v>
      </c>
    </row>
    <row r="11" spans="1:8" ht="16.5" x14ac:dyDescent="0.25">
      <c r="A11" s="46"/>
      <c r="B11" s="47" t="s">
        <v>3038</v>
      </c>
      <c r="C11" s="35" t="s">
        <v>2694</v>
      </c>
      <c r="D11" s="35">
        <v>8</v>
      </c>
      <c r="E11" s="68">
        <v>17.91</v>
      </c>
      <c r="F11" s="68" t="s">
        <v>2466</v>
      </c>
      <c r="G11" s="68" t="s">
        <v>2466</v>
      </c>
      <c r="H11" s="69">
        <v>17.91</v>
      </c>
    </row>
    <row r="12" spans="1:8" ht="16.5" x14ac:dyDescent="0.25">
      <c r="A12" s="46"/>
      <c r="B12" s="47"/>
      <c r="C12" s="35" t="s">
        <v>2706</v>
      </c>
      <c r="D12" s="35">
        <v>9</v>
      </c>
      <c r="E12" s="68">
        <v>25.380000000000003</v>
      </c>
      <c r="F12" s="68" t="s">
        <v>2466</v>
      </c>
      <c r="G12" s="68" t="s">
        <v>2466</v>
      </c>
      <c r="H12" s="69">
        <v>25.380000000000003</v>
      </c>
    </row>
    <row r="13" spans="1:8" ht="16.5" x14ac:dyDescent="0.25">
      <c r="A13" s="46"/>
      <c r="B13" s="47"/>
      <c r="C13" s="35" t="s">
        <v>2709</v>
      </c>
      <c r="D13" s="35">
        <v>10</v>
      </c>
      <c r="E13" s="68" t="s">
        <v>2466</v>
      </c>
      <c r="F13" s="68">
        <v>27.69</v>
      </c>
      <c r="G13" s="68" t="s">
        <v>2466</v>
      </c>
      <c r="H13" s="69">
        <v>27.69</v>
      </c>
    </row>
    <row r="14" spans="1:8" ht="16.5" x14ac:dyDescent="0.25">
      <c r="A14" s="46"/>
      <c r="B14" s="47"/>
      <c r="C14" s="35" t="s">
        <v>1974</v>
      </c>
      <c r="D14" s="35">
        <v>11</v>
      </c>
      <c r="E14" s="68" t="s">
        <v>2466</v>
      </c>
      <c r="F14" s="68" t="s">
        <v>2466</v>
      </c>
      <c r="G14" s="68">
        <v>30.72</v>
      </c>
      <c r="H14" s="69">
        <v>30.72</v>
      </c>
    </row>
    <row r="15" spans="1:8" ht="16.5" x14ac:dyDescent="0.25">
      <c r="A15" s="46"/>
      <c r="B15" s="47" t="s">
        <v>3028</v>
      </c>
      <c r="C15" s="47"/>
      <c r="D15" s="35">
        <v>12</v>
      </c>
      <c r="E15" s="68">
        <v>43.290000000000006</v>
      </c>
      <c r="F15" s="68">
        <v>27.69</v>
      </c>
      <c r="G15" s="68">
        <v>30.72</v>
      </c>
      <c r="H15" s="69">
        <v>101.7</v>
      </c>
    </row>
    <row r="16" spans="1:8" ht="16.5" x14ac:dyDescent="0.25">
      <c r="A16" s="46" t="s">
        <v>3029</v>
      </c>
      <c r="B16" s="47"/>
      <c r="C16" s="47"/>
      <c r="D16" s="35">
        <v>13</v>
      </c>
      <c r="E16" s="68">
        <v>50.790000000000006</v>
      </c>
      <c r="F16" s="68">
        <v>39.17</v>
      </c>
      <c r="G16" s="68">
        <v>50.68</v>
      </c>
      <c r="H16" s="69">
        <v>140.64000000000001</v>
      </c>
    </row>
    <row r="17" spans="1:8" ht="16.5" x14ac:dyDescent="0.25">
      <c r="A17" s="46" t="s">
        <v>3030</v>
      </c>
      <c r="B17" s="47"/>
      <c r="C17" s="47"/>
      <c r="D17" s="35">
        <v>14</v>
      </c>
      <c r="E17" s="68">
        <v>50.790000000000006</v>
      </c>
      <c r="F17" s="68">
        <v>39.17</v>
      </c>
      <c r="G17" s="68">
        <v>50.68</v>
      </c>
      <c r="H17" s="74">
        <v>140.64000000000001</v>
      </c>
    </row>
    <row r="18" spans="1:8" ht="16.5" x14ac:dyDescent="0.25">
      <c r="A18" s="46" t="s">
        <v>3031</v>
      </c>
      <c r="B18" s="47"/>
      <c r="C18" s="47"/>
      <c r="D18" s="35">
        <v>15</v>
      </c>
      <c r="E18" s="68" t="s">
        <v>2466</v>
      </c>
      <c r="F18" s="68" t="s">
        <v>2466</v>
      </c>
      <c r="G18" s="68" t="s">
        <v>2466</v>
      </c>
      <c r="H18" s="69" t="s">
        <v>2466</v>
      </c>
    </row>
    <row r="19" spans="1:8" ht="16.5" x14ac:dyDescent="0.25">
      <c r="A19" s="46" t="s">
        <v>2350</v>
      </c>
      <c r="B19" s="47"/>
      <c r="C19" s="47"/>
      <c r="D19" s="35">
        <v>16</v>
      </c>
      <c r="E19" s="68">
        <v>7.5</v>
      </c>
      <c r="F19" s="68">
        <v>11.479999999999999</v>
      </c>
      <c r="G19" s="68">
        <v>19.96</v>
      </c>
      <c r="H19" s="69">
        <v>38.94</v>
      </c>
    </row>
    <row r="20" spans="1:8" ht="16.5" x14ac:dyDescent="0.25">
      <c r="A20" s="46" t="s">
        <v>2352</v>
      </c>
      <c r="B20" s="47"/>
      <c r="C20" s="47"/>
      <c r="D20" s="35">
        <v>17</v>
      </c>
      <c r="E20" s="68">
        <v>43.290000000000006</v>
      </c>
      <c r="F20" s="68">
        <v>27.69</v>
      </c>
      <c r="G20" s="68">
        <v>30.72</v>
      </c>
      <c r="H20" s="69">
        <v>101.7</v>
      </c>
    </row>
    <row r="21" spans="1:8" ht="16.5" x14ac:dyDescent="0.25">
      <c r="A21" s="46" t="s">
        <v>3032</v>
      </c>
      <c r="B21" s="47"/>
      <c r="C21" s="47"/>
      <c r="D21" s="47"/>
      <c r="E21" s="70"/>
      <c r="F21" s="70"/>
      <c r="G21" s="70"/>
      <c r="H21" s="71"/>
    </row>
    <row r="22" spans="1:8" ht="16.5" x14ac:dyDescent="0.25">
      <c r="A22" s="46" t="s">
        <v>3033</v>
      </c>
      <c r="B22" s="47"/>
      <c r="C22" s="47"/>
      <c r="D22" s="47" t="s">
        <v>2466</v>
      </c>
      <c r="E22" s="70"/>
      <c r="F22" s="70"/>
      <c r="G22" s="70"/>
      <c r="H22" s="69">
        <v>1750.308</v>
      </c>
    </row>
    <row r="23" spans="1:8" ht="17.25" thickBot="1" x14ac:dyDescent="0.3">
      <c r="A23" s="56" t="s">
        <v>3034</v>
      </c>
      <c r="B23" s="57"/>
      <c r="C23" s="57"/>
      <c r="D23" s="57" t="s">
        <v>2466</v>
      </c>
      <c r="E23" s="72"/>
      <c r="F23" s="72"/>
      <c r="G23" s="72"/>
      <c r="H23" s="73">
        <v>638.71199999999999</v>
      </c>
    </row>
  </sheetData>
  <mergeCells count="21">
    <mergeCell ref="D23:G23"/>
    <mergeCell ref="A18:C18"/>
    <mergeCell ref="A19:C19"/>
    <mergeCell ref="A20:C20"/>
    <mergeCell ref="A21:H21"/>
    <mergeCell ref="A22:C22"/>
    <mergeCell ref="D22:G22"/>
    <mergeCell ref="A4:A15"/>
    <mergeCell ref="B4:B9"/>
    <mergeCell ref="B11:B14"/>
    <mergeCell ref="B10:C10"/>
    <mergeCell ref="C1:C2"/>
    <mergeCell ref="D1:D2"/>
    <mergeCell ref="E1:G1"/>
    <mergeCell ref="H1:H2"/>
    <mergeCell ref="A16:C16"/>
    <mergeCell ref="A17:C17"/>
    <mergeCell ref="A23:C23"/>
    <mergeCell ref="A1:A2"/>
    <mergeCell ref="B1:B2"/>
    <mergeCell ref="B15:C15"/>
  </mergeCells>
  <conditionalFormatting sqref="A1:H23">
    <cfRule type="containsText" dxfId="55" priority="14" stopIfTrue="1" operator="containsText" text="шт.)">
      <formula>NOT(ISERROR(SEARCH("шт.)",A1)))</formula>
    </cfRule>
    <cfRule type="containsText" dxfId="54" priority="13" stopIfTrue="1" operator="containsText" text=", на ">
      <formula>NOT(ISERROR(SEARCH(", на ",A1)))</formula>
    </cfRule>
    <cfRule type="containsText" dxfId="53" priority="12" stopIfTrue="1" operator="containsText" text="Элементы на отм.">
      <formula>NOT(ISERROR(SEARCH("Элементы на отм.",A1)))</formula>
    </cfRule>
    <cfRule type="containsText" dxfId="52" priority="11" stopIfTrue="1" operator="containsText" text=" Прокат ">
      <formula>NOT(ISERROR(SEARCH(" Прокат ",A1)))</formula>
    </cfRule>
    <cfRule type="containsText" dxfId="51" priority="10" stopIfTrue="1" operator="containsText" text=" Изделия арматурные ">
      <formula>NOT(ISERROR(SEARCH(" Изделия арматурные ",A1)))</formula>
    </cfRule>
    <cfRule type="containsText" dxfId="50" priority="9" stopIfTrue="1" operator="containsText" text=" Материалы ">
      <formula>NOT(ISERROR(SEARCH(" Материалы ",A1)))</formula>
    </cfRule>
    <cfRule type="containsText" dxfId="49" priority="8" stopIfTrue="1" operator="containsText" text=" Изделия ">
      <formula>NOT(ISERROR(SEARCH(" Изделия ",A1)))</formula>
    </cfRule>
    <cfRule type="containsText" dxfId="48" priority="7" stopIfTrue="1" operator="containsText" text=" Сборочные единицы ">
      <formula>NOT(ISERROR(SEARCH(" Сборочные единицы ",A1)))</formula>
    </cfRule>
    <cfRule type="containsText" dxfId="47" priority="6" stopIfTrue="1" operator="containsText" text=" Заполнения проёмов ">
      <formula>NOT(ISERROR(SEARCH(" Заполнения проёмов ",A1)))</formula>
    </cfRule>
    <cfRule type="containsText" dxfId="46" priority="5" stopIfTrue="1" operator="containsText" text=" Сборочные единицы ">
      <formula>NOT(ISERROR(SEARCH(" Сборочные единицы ",A1)))</formula>
    </cfRule>
    <cfRule type="containsText" dxfId="45" priority="4" stopIfTrue="1" operator="containsText" text=" Заполнения проёмов ">
      <formula>NOT(ISERROR(SEARCH(" Заполнения проёмов ",A1)))</formula>
    </cfRule>
    <cfRule type="containsText" dxfId="44" priority="3" stopIfTrue="1" operator="containsText" text="!!!">
      <formula>NOT(ISERROR(SEARCH("!!!",A1)))</formula>
    </cfRule>
    <cfRule type="containsText" dxfId="43" priority="2" stopIfTrue="1" operator="containsText" text="ИЗ ФАЙЛА">
      <formula>NOT(ISERROR(SEARCH("ИЗ ФАЙЛА",A1)))</formula>
    </cfRule>
    <cfRule type="containsText" dxfId="4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AF8CE-1F98-424F-A835-A43EB860FEA9}">
  <sheetPr codeName="Лист7">
    <tabColor rgb="FF000000"/>
  </sheetPr>
  <dimension ref="A1:F13"/>
  <sheetViews>
    <sheetView workbookViewId="0">
      <selection activeCell="E29" sqref="E29"/>
    </sheetView>
  </sheetViews>
  <sheetFormatPr defaultRowHeight="15" x14ac:dyDescent="0.25"/>
  <cols>
    <col min="1" max="1" width="7.85546875" style="37" customWidth="1"/>
    <col min="2" max="2" width="24.5703125" style="37" customWidth="1"/>
    <col min="3" max="3" width="29.42578125" style="37" customWidth="1"/>
    <col min="4" max="4" width="7.85546875" style="37" customWidth="1"/>
    <col min="5" max="5" width="10.28515625" style="37" customWidth="1"/>
    <col min="6" max="6" width="12.7109375" style="37" customWidth="1"/>
    <col min="7" max="16384" width="9.140625" style="37"/>
  </cols>
  <sheetData>
    <row r="1" spans="1:6" ht="33" x14ac:dyDescent="0.25">
      <c r="A1" s="27" t="s">
        <v>2368</v>
      </c>
      <c r="B1" s="29" t="s">
        <v>2369</v>
      </c>
      <c r="C1" s="29" t="s">
        <v>2370</v>
      </c>
      <c r="D1" s="29" t="s">
        <v>2986</v>
      </c>
      <c r="E1" s="29" t="s">
        <v>2987</v>
      </c>
      <c r="F1" s="30" t="s">
        <v>2988</v>
      </c>
    </row>
    <row r="2" spans="1:6" ht="16.5" x14ac:dyDescent="0.25">
      <c r="A2" s="28">
        <v>1</v>
      </c>
      <c r="B2" s="47" t="s">
        <v>3016</v>
      </c>
      <c r="C2" s="35" t="s">
        <v>3039</v>
      </c>
      <c r="D2" s="35">
        <v>1</v>
      </c>
      <c r="E2" s="35">
        <v>634.79999999999995</v>
      </c>
      <c r="F2" s="31" t="s">
        <v>3040</v>
      </c>
    </row>
    <row r="3" spans="1:6" ht="16.5" x14ac:dyDescent="0.25">
      <c r="A3" s="28">
        <v>2</v>
      </c>
      <c r="B3" s="47"/>
      <c r="C3" s="35" t="s">
        <v>3041</v>
      </c>
      <c r="D3" s="35">
        <v>2</v>
      </c>
      <c r="E3" s="35">
        <v>386.4</v>
      </c>
      <c r="F3" s="31" t="s">
        <v>3042</v>
      </c>
    </row>
    <row r="4" spans="1:6" ht="16.5" x14ac:dyDescent="0.25">
      <c r="A4" s="28">
        <v>3</v>
      </c>
      <c r="B4" s="47"/>
      <c r="C4" s="35" t="s">
        <v>3043</v>
      </c>
      <c r="D4" s="35">
        <v>30</v>
      </c>
      <c r="E4" s="35">
        <v>113.6</v>
      </c>
      <c r="F4" s="31" t="s">
        <v>3044</v>
      </c>
    </row>
    <row r="5" spans="1:6" ht="16.5" x14ac:dyDescent="0.25">
      <c r="A5" s="28">
        <v>4</v>
      </c>
      <c r="B5" s="47"/>
      <c r="C5" s="35" t="s">
        <v>3045</v>
      </c>
      <c r="D5" s="35">
        <v>50</v>
      </c>
      <c r="E5" s="35">
        <v>137.19999999999999</v>
      </c>
      <c r="F5" s="31" t="s">
        <v>3046</v>
      </c>
    </row>
    <row r="6" spans="1:6" ht="16.5" x14ac:dyDescent="0.25">
      <c r="A6" s="28">
        <v>5</v>
      </c>
      <c r="B6" s="47"/>
      <c r="C6" s="35" t="s">
        <v>3047</v>
      </c>
      <c r="D6" s="35">
        <v>64.5</v>
      </c>
      <c r="E6" s="35">
        <v>165.8</v>
      </c>
      <c r="F6" s="31" t="s">
        <v>3048</v>
      </c>
    </row>
    <row r="7" spans="1:6" ht="16.5" x14ac:dyDescent="0.25">
      <c r="A7" s="28">
        <v>6</v>
      </c>
      <c r="B7" s="47"/>
      <c r="C7" s="35" t="s">
        <v>3049</v>
      </c>
      <c r="D7" s="35">
        <v>82</v>
      </c>
      <c r="E7" s="35">
        <v>201.8</v>
      </c>
      <c r="F7" s="31" t="s">
        <v>3050</v>
      </c>
    </row>
    <row r="8" spans="1:6" ht="16.5" x14ac:dyDescent="0.25">
      <c r="A8" s="28">
        <v>7</v>
      </c>
      <c r="B8" s="47"/>
      <c r="C8" s="35" t="s">
        <v>3051</v>
      </c>
      <c r="D8" s="35">
        <v>99.5</v>
      </c>
      <c r="E8" s="35">
        <v>255</v>
      </c>
      <c r="F8" s="31" t="s">
        <v>3052</v>
      </c>
    </row>
    <row r="9" spans="1:6" ht="16.5" x14ac:dyDescent="0.25">
      <c r="A9" s="28">
        <v>8</v>
      </c>
      <c r="B9" s="47"/>
      <c r="C9" s="35" t="s">
        <v>3053</v>
      </c>
      <c r="D9" s="35">
        <v>117</v>
      </c>
      <c r="E9" s="35">
        <v>236.6</v>
      </c>
      <c r="F9" s="31" t="s">
        <v>3054</v>
      </c>
    </row>
    <row r="10" spans="1:6" ht="16.5" x14ac:dyDescent="0.25">
      <c r="A10" s="28">
        <v>9</v>
      </c>
      <c r="B10" s="47"/>
      <c r="C10" s="35" t="s">
        <v>3055</v>
      </c>
      <c r="D10" s="35">
        <v>134.5</v>
      </c>
      <c r="E10" s="35">
        <v>228.4</v>
      </c>
      <c r="F10" s="31" t="s">
        <v>3056</v>
      </c>
    </row>
    <row r="11" spans="1:6" ht="16.5" x14ac:dyDescent="0.25">
      <c r="A11" s="28">
        <v>10</v>
      </c>
      <c r="B11" s="47"/>
      <c r="C11" s="35" t="s">
        <v>3057</v>
      </c>
      <c r="D11" s="35">
        <v>152</v>
      </c>
      <c r="E11" s="35">
        <v>117.8</v>
      </c>
      <c r="F11" s="31" t="s">
        <v>3058</v>
      </c>
    </row>
    <row r="12" spans="1:6" ht="16.5" x14ac:dyDescent="0.25">
      <c r="A12" s="28" t="s">
        <v>2466</v>
      </c>
      <c r="B12" s="47" t="s">
        <v>3059</v>
      </c>
      <c r="C12" s="35" t="s">
        <v>3060</v>
      </c>
      <c r="D12" s="35">
        <v>1750.31</v>
      </c>
      <c r="E12" s="35" t="s">
        <v>4</v>
      </c>
      <c r="F12" s="31" t="s">
        <v>2359</v>
      </c>
    </row>
    <row r="13" spans="1:6" ht="17.25" thickBot="1" x14ac:dyDescent="0.3">
      <c r="A13" s="32" t="s">
        <v>2466</v>
      </c>
      <c r="B13" s="57"/>
      <c r="C13" s="33" t="s">
        <v>3061</v>
      </c>
      <c r="D13" s="33">
        <v>638.72</v>
      </c>
      <c r="E13" s="33" t="s">
        <v>4</v>
      </c>
      <c r="F13" s="34" t="s">
        <v>2359</v>
      </c>
    </row>
  </sheetData>
  <mergeCells count="2">
    <mergeCell ref="B2:B11"/>
    <mergeCell ref="B12:B13"/>
  </mergeCells>
  <conditionalFormatting sqref="A1:F13">
    <cfRule type="containsText" dxfId="20" priority="14" stopIfTrue="1" operator="containsText" text="шт.)">
      <formula>NOT(ISERROR(SEARCH("шт.)",A1)))</formula>
    </cfRule>
    <cfRule type="containsText" dxfId="19" priority="13" stopIfTrue="1" operator="containsText" text=", на ">
      <formula>NOT(ISERROR(SEARCH(", на ",A1)))</formula>
    </cfRule>
    <cfRule type="containsText" dxfId="18" priority="12" stopIfTrue="1" operator="containsText" text="Элементы на отм.">
      <formula>NOT(ISERROR(SEARCH("Элементы на отм.",A1)))</formula>
    </cfRule>
    <cfRule type="containsText" dxfId="17" priority="11" stopIfTrue="1" operator="containsText" text=" Прокат ">
      <formula>NOT(ISERROR(SEARCH(" Прокат ",A1)))</formula>
    </cfRule>
    <cfRule type="containsText" dxfId="16" priority="10" stopIfTrue="1" operator="containsText" text=" Изделия арматурные ">
      <formula>NOT(ISERROR(SEARCH(" Изделия арматурные ",A1)))</formula>
    </cfRule>
    <cfRule type="containsText" dxfId="15" priority="9" stopIfTrue="1" operator="containsText" text=" Материалы ">
      <formula>NOT(ISERROR(SEARCH(" Материалы ",A1)))</formula>
    </cfRule>
    <cfRule type="containsText" dxfId="14" priority="8" stopIfTrue="1" operator="containsText" text=" Изделия ">
      <formula>NOT(ISERROR(SEARCH(" Изделия ",A1)))</formula>
    </cfRule>
    <cfRule type="containsText" dxfId="13" priority="7" stopIfTrue="1" operator="containsText" text=" Сборочные единицы ">
      <formula>NOT(ISERROR(SEARCH(" Сборочные единицы ",A1)))</formula>
    </cfRule>
    <cfRule type="containsText" dxfId="12" priority="6" stopIfTrue="1" operator="containsText" text=" Заполнения проёмов ">
      <formula>NOT(ISERROR(SEARCH(" Заполнения проёмов ",A1)))</formula>
    </cfRule>
    <cfRule type="containsText" dxfId="11" priority="5" stopIfTrue="1" operator="containsText" text=" Сборочные единицы ">
      <formula>NOT(ISERROR(SEARCH(" Сборочные единицы ",A1)))</formula>
    </cfRule>
    <cfRule type="containsText" dxfId="10" priority="4" stopIfTrue="1" operator="containsText" text=" Заполнения проёмов ">
      <formula>NOT(ISERROR(SEARCH(" Заполнения проёмов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|Содержание|</vt:lpstr>
      <vt:lpstr>|Лог|</vt:lpstr>
      <vt:lpstr>Спм1_спец</vt:lpstr>
      <vt:lpstr>КМ_спец</vt:lpstr>
      <vt:lpstr>Изделия_спец.И</vt:lpstr>
      <vt:lpstr>!System</vt:lpstr>
      <vt:lpstr>Спм1_об</vt:lpstr>
      <vt:lpstr>Спм1</vt:lpstr>
      <vt:lpstr>Спм1_кж</vt:lpstr>
      <vt:lpstr>КМ_км</vt:lpstr>
      <vt:lpstr>КМ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da-rogojin</cp:lastModifiedBy>
  <cp:lastPrinted>2020-03-11T14:49:01Z</cp:lastPrinted>
  <dcterms:created xsi:type="dcterms:W3CDTF">2014-07-19T16:57:30Z</dcterms:created>
  <dcterms:modified xsi:type="dcterms:W3CDTF">2020-05-02T09:48:58Z</dcterms:modified>
</cp:coreProperties>
</file>